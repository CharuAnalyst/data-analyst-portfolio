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HP\OneDrive\Pictures\EXCEL\Excel chandoo\"/>
    </mc:Choice>
  </mc:AlternateContent>
  <xr:revisionPtr revIDLastSave="0" documentId="13_ncr:1_{D3BD108B-EB1A-48BC-8360-88BA97E82C27}"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Pivot" sheetId="3" r:id="rId2"/>
    <sheet name="Sheet1" sheetId="4" r:id="rId3"/>
    <sheet name="Customer Center Report" sheetId="2" r:id="rId4"/>
  </sheets>
  <definedNames>
    <definedName name="_xlcn.WorksheetConnection_PROJECT.xlsxcalls1" hidden="1">calls[]</definedName>
    <definedName name="_xlcn.WorksheetConnection_PROJECT.xlsxcustomers1" hidden="1">customers[]</definedName>
    <definedName name="ExternalData_1" localSheetId="2" hidden="1">Sheet1!$A$3:$M$19</definedName>
    <definedName name="Slicer_Representative">#N/A</definedName>
  </definedNames>
  <calcPr calcId="191029"/>
  <pivotCaches>
    <pivotCache cacheId="0" r:id="rId5"/>
    <pivotCache cacheId="1" r:id="rId6"/>
    <pivotCache cacheId="2" r:id="rId7"/>
    <pivotCache cacheId="3" r:id="rId8"/>
    <pivotCache cacheId="4" r:id="rId9"/>
    <pivotCache cacheId="12" r:id="rId10"/>
    <pivotCache cacheId="15" r:id="rId11"/>
    <pivotCache cacheId="18" r:id="rId12"/>
    <pivotCache cacheId="21"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PROJECT.xlsx!customers"/>
          <x15:modelTable id="calls" name="calls" connection="WorksheetConnection_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6" i="2" l="1" a="1"/>
  <c r="T16" i="2" s="1"/>
  <c r="S17" i="2" a="1"/>
  <c r="S17" i="2" s="1"/>
  <c r="F56" i="3" a="1"/>
  <c r="F56" i="3" s="1"/>
  <c r="J53" i="3" l="1"/>
  <c r="L1003" i="1"/>
  <c r="K1003" i="1" a="1"/>
  <c r="K1003" i="1" s="1"/>
  <c r="J1003" i="1"/>
  <c r="I1003" i="1"/>
  <c r="L1002" i="1"/>
  <c r="K1002" i="1" a="1"/>
  <c r="K1002" i="1" s="1"/>
  <c r="J1002" i="1"/>
  <c r="I1002" i="1"/>
  <c r="L1001" i="1"/>
  <c r="K1001" i="1" a="1"/>
  <c r="K1001" i="1" s="1"/>
  <c r="J1001" i="1"/>
  <c r="I1001" i="1"/>
  <c r="L1000" i="1"/>
  <c r="K1000" i="1" a="1"/>
  <c r="K1000" i="1" s="1"/>
  <c r="J1000" i="1"/>
  <c r="I1000" i="1"/>
  <c r="L999" i="1"/>
  <c r="K999" i="1" a="1"/>
  <c r="K999" i="1" s="1"/>
  <c r="J999" i="1"/>
  <c r="I999" i="1"/>
  <c r="L998" i="1"/>
  <c r="K998" i="1"/>
  <c r="K998" i="1" a="1"/>
  <c r="J998" i="1"/>
  <c r="I998" i="1"/>
  <c r="L997" i="1"/>
  <c r="K997" i="1"/>
  <c r="K997" i="1" a="1"/>
  <c r="J997" i="1"/>
  <c r="I997" i="1"/>
  <c r="L996" i="1"/>
  <c r="K996" i="1"/>
  <c r="K996" i="1" a="1"/>
  <c r="J996" i="1"/>
  <c r="I996" i="1"/>
  <c r="L995" i="1"/>
  <c r="K995" i="1"/>
  <c r="K995" i="1" a="1"/>
  <c r="J995" i="1"/>
  <c r="I995" i="1"/>
  <c r="L994" i="1"/>
  <c r="K994" i="1"/>
  <c r="K994" i="1" a="1"/>
  <c r="J994" i="1"/>
  <c r="I994" i="1"/>
  <c r="L993" i="1"/>
  <c r="K993" i="1"/>
  <c r="K993" i="1" a="1"/>
  <c r="J993" i="1"/>
  <c r="I993" i="1"/>
  <c r="L992" i="1"/>
  <c r="K992" i="1"/>
  <c r="K992" i="1" a="1"/>
  <c r="J992" i="1"/>
  <c r="I992" i="1"/>
  <c r="L991" i="1"/>
  <c r="K991" i="1" a="1"/>
  <c r="K991" i="1" s="1"/>
  <c r="J991" i="1"/>
  <c r="I991" i="1"/>
  <c r="L990" i="1"/>
  <c r="K990" i="1" a="1"/>
  <c r="K990" i="1" s="1"/>
  <c r="J990" i="1"/>
  <c r="I990" i="1"/>
  <c r="L989" i="1"/>
  <c r="K989" i="1" a="1"/>
  <c r="K989" i="1" s="1"/>
  <c r="J989" i="1"/>
  <c r="I989" i="1"/>
  <c r="L988" i="1"/>
  <c r="K988" i="1" a="1"/>
  <c r="K988" i="1" s="1"/>
  <c r="J988" i="1"/>
  <c r="I988" i="1"/>
  <c r="L987" i="1"/>
  <c r="K987" i="1"/>
  <c r="K987" i="1" a="1"/>
  <c r="J987" i="1"/>
  <c r="I987" i="1"/>
  <c r="L986" i="1"/>
  <c r="K986" i="1" a="1"/>
  <c r="K986" i="1" s="1"/>
  <c r="J986" i="1"/>
  <c r="I986" i="1"/>
  <c r="L985" i="1"/>
  <c r="K985" i="1"/>
  <c r="K985" i="1" a="1"/>
  <c r="J985" i="1"/>
  <c r="I985" i="1"/>
  <c r="L984" i="1"/>
  <c r="K984" i="1" a="1"/>
  <c r="K984" i="1" s="1"/>
  <c r="J984" i="1"/>
  <c r="I984" i="1"/>
  <c r="L983" i="1"/>
  <c r="K983" i="1"/>
  <c r="K983" i="1" a="1"/>
  <c r="J983" i="1"/>
  <c r="I983" i="1"/>
  <c r="L982" i="1"/>
  <c r="K982" i="1"/>
  <c r="K982" i="1" a="1"/>
  <c r="J982" i="1"/>
  <c r="I982" i="1"/>
  <c r="L981" i="1"/>
  <c r="K981" i="1"/>
  <c r="K981" i="1" a="1"/>
  <c r="J981" i="1"/>
  <c r="I981" i="1"/>
  <c r="L980" i="1"/>
  <c r="K980" i="1" a="1"/>
  <c r="K980" i="1" s="1"/>
  <c r="J980" i="1"/>
  <c r="I980" i="1"/>
  <c r="L979" i="1"/>
  <c r="K979" i="1" a="1"/>
  <c r="K979" i="1" s="1"/>
  <c r="J979" i="1"/>
  <c r="I979" i="1"/>
  <c r="L978" i="1"/>
  <c r="K978" i="1" a="1"/>
  <c r="K978" i="1" s="1"/>
  <c r="J978" i="1"/>
  <c r="I978" i="1"/>
  <c r="L977" i="1"/>
  <c r="K977" i="1" a="1"/>
  <c r="K977" i="1" s="1"/>
  <c r="J977" i="1"/>
  <c r="I977" i="1"/>
  <c r="L976" i="1"/>
  <c r="K976" i="1" a="1"/>
  <c r="K976" i="1" s="1"/>
  <c r="J976" i="1"/>
  <c r="I976" i="1"/>
  <c r="L975" i="1"/>
  <c r="K975" i="1" a="1"/>
  <c r="K975" i="1" s="1"/>
  <c r="J975" i="1"/>
  <c r="I975" i="1"/>
  <c r="L974" i="1"/>
  <c r="K974" i="1" a="1"/>
  <c r="K974" i="1" s="1"/>
  <c r="J974" i="1"/>
  <c r="I974" i="1"/>
  <c r="L973" i="1"/>
  <c r="K973" i="1" a="1"/>
  <c r="K973" i="1" s="1"/>
  <c r="J973" i="1"/>
  <c r="I973" i="1"/>
  <c r="L972" i="1"/>
  <c r="K972" i="1"/>
  <c r="K972" i="1" a="1"/>
  <c r="J972" i="1"/>
  <c r="I972" i="1"/>
  <c r="L971" i="1"/>
  <c r="K971" i="1"/>
  <c r="K971" i="1" a="1"/>
  <c r="J971" i="1"/>
  <c r="I971" i="1"/>
  <c r="L970" i="1"/>
  <c r="K970" i="1"/>
  <c r="K970" i="1" a="1"/>
  <c r="J970" i="1"/>
  <c r="I970" i="1"/>
  <c r="L969" i="1"/>
  <c r="K969" i="1"/>
  <c r="K969" i="1" a="1"/>
  <c r="J969" i="1"/>
  <c r="I969" i="1"/>
  <c r="L968" i="1"/>
  <c r="K968" i="1" a="1"/>
  <c r="K968" i="1" s="1"/>
  <c r="J968" i="1"/>
  <c r="I968" i="1"/>
  <c r="L967" i="1"/>
  <c r="K967" i="1" a="1"/>
  <c r="K967" i="1" s="1"/>
  <c r="J967" i="1"/>
  <c r="I967" i="1"/>
  <c r="L966" i="1"/>
  <c r="K966" i="1" a="1"/>
  <c r="K966" i="1" s="1"/>
  <c r="J966" i="1"/>
  <c r="I966" i="1"/>
  <c r="L965" i="1"/>
  <c r="K965" i="1" a="1"/>
  <c r="K965" i="1" s="1"/>
  <c r="J965" i="1"/>
  <c r="I965" i="1"/>
  <c r="L964" i="1"/>
  <c r="K964" i="1" a="1"/>
  <c r="K964" i="1" s="1"/>
  <c r="J964" i="1"/>
  <c r="I964" i="1"/>
  <c r="L963" i="1"/>
  <c r="K963" i="1" a="1"/>
  <c r="K963" i="1" s="1"/>
  <c r="J963" i="1"/>
  <c r="I963" i="1"/>
  <c r="L962" i="1"/>
  <c r="K962" i="1" a="1"/>
  <c r="K962" i="1" s="1"/>
  <c r="J962" i="1"/>
  <c r="I962" i="1"/>
  <c r="L961" i="1"/>
  <c r="K961" i="1" a="1"/>
  <c r="K961" i="1" s="1"/>
  <c r="J961" i="1"/>
  <c r="I961" i="1"/>
  <c r="L960" i="1"/>
  <c r="K960" i="1" a="1"/>
  <c r="K960" i="1" s="1"/>
  <c r="J960" i="1"/>
  <c r="I960" i="1"/>
  <c r="L959" i="1"/>
  <c r="K959" i="1" a="1"/>
  <c r="K959" i="1" s="1"/>
  <c r="J959" i="1"/>
  <c r="I959" i="1"/>
  <c r="L958" i="1"/>
  <c r="K958" i="1"/>
  <c r="K958" i="1" a="1"/>
  <c r="J958" i="1"/>
  <c r="I958" i="1"/>
  <c r="L957" i="1"/>
  <c r="K957" i="1"/>
  <c r="K957" i="1" a="1"/>
  <c r="J957" i="1"/>
  <c r="I957" i="1"/>
  <c r="L956" i="1"/>
  <c r="K956" i="1" a="1"/>
  <c r="K956" i="1" s="1"/>
  <c r="J956" i="1"/>
  <c r="I956" i="1"/>
  <c r="L955" i="1"/>
  <c r="K955" i="1" a="1"/>
  <c r="K955" i="1" s="1"/>
  <c r="J955" i="1"/>
  <c r="I955" i="1"/>
  <c r="L954" i="1"/>
  <c r="K954" i="1" a="1"/>
  <c r="K954" i="1" s="1"/>
  <c r="J954" i="1"/>
  <c r="I954" i="1"/>
  <c r="L953" i="1"/>
  <c r="K953" i="1" a="1"/>
  <c r="K953" i="1" s="1"/>
  <c r="J953" i="1"/>
  <c r="I953" i="1"/>
  <c r="L952" i="1"/>
  <c r="K952" i="1" a="1"/>
  <c r="K952" i="1" s="1"/>
  <c r="J952" i="1"/>
  <c r="I952" i="1"/>
  <c r="L951" i="1"/>
  <c r="K951" i="1" a="1"/>
  <c r="K951" i="1" s="1"/>
  <c r="J951" i="1"/>
  <c r="I951" i="1"/>
  <c r="L950" i="1"/>
  <c r="K950" i="1" a="1"/>
  <c r="K950" i="1" s="1"/>
  <c r="J950" i="1"/>
  <c r="I950" i="1"/>
  <c r="L949" i="1"/>
  <c r="K949" i="1"/>
  <c r="K949" i="1" a="1"/>
  <c r="J949" i="1"/>
  <c r="I949" i="1"/>
  <c r="L948" i="1"/>
  <c r="K948" i="1" a="1"/>
  <c r="K948" i="1" s="1"/>
  <c r="J948" i="1"/>
  <c r="I948" i="1"/>
  <c r="L947" i="1"/>
  <c r="K947" i="1" a="1"/>
  <c r="K947" i="1" s="1"/>
  <c r="J947" i="1"/>
  <c r="I947" i="1"/>
  <c r="L946" i="1"/>
  <c r="K946" i="1"/>
  <c r="K946" i="1" a="1"/>
  <c r="J946" i="1"/>
  <c r="I946" i="1"/>
  <c r="L945" i="1"/>
  <c r="K945" i="1"/>
  <c r="K945" i="1" a="1"/>
  <c r="J945" i="1"/>
  <c r="I945" i="1"/>
  <c r="L944" i="1"/>
  <c r="K944" i="1"/>
  <c r="K944" i="1" a="1"/>
  <c r="J944" i="1"/>
  <c r="I944" i="1"/>
  <c r="L943" i="1"/>
  <c r="K943" i="1" a="1"/>
  <c r="K943" i="1" s="1"/>
  <c r="J943" i="1"/>
  <c r="I943" i="1"/>
  <c r="L942" i="1"/>
  <c r="K942" i="1" a="1"/>
  <c r="K942" i="1" s="1"/>
  <c r="J942" i="1"/>
  <c r="I942" i="1"/>
  <c r="L941" i="1"/>
  <c r="K941" i="1" a="1"/>
  <c r="K941" i="1" s="1"/>
  <c r="J941" i="1"/>
  <c r="I941" i="1"/>
  <c r="L940" i="1"/>
  <c r="K940" i="1" a="1"/>
  <c r="K940" i="1" s="1"/>
  <c r="J940" i="1"/>
  <c r="I940" i="1"/>
  <c r="L939" i="1"/>
  <c r="K939" i="1"/>
  <c r="K939" i="1" a="1"/>
  <c r="J939" i="1"/>
  <c r="I939" i="1"/>
  <c r="L938" i="1"/>
  <c r="K938" i="1" a="1"/>
  <c r="K938" i="1" s="1"/>
  <c r="J938" i="1"/>
  <c r="I938" i="1"/>
  <c r="L937" i="1"/>
  <c r="K937" i="1" a="1"/>
  <c r="K937" i="1" s="1"/>
  <c r="J937" i="1"/>
  <c r="I937" i="1"/>
  <c r="L936" i="1"/>
  <c r="K936" i="1" a="1"/>
  <c r="K936" i="1" s="1"/>
  <c r="J936" i="1"/>
  <c r="I936" i="1"/>
  <c r="L935" i="1"/>
  <c r="K935" i="1" a="1"/>
  <c r="K935" i="1" s="1"/>
  <c r="J935" i="1"/>
  <c r="I935" i="1"/>
  <c r="L934" i="1"/>
  <c r="K934" i="1"/>
  <c r="K934" i="1" a="1"/>
  <c r="J934" i="1"/>
  <c r="I934" i="1"/>
  <c r="L933" i="1"/>
  <c r="K933" i="1"/>
  <c r="K933" i="1" a="1"/>
  <c r="J933" i="1"/>
  <c r="I933" i="1"/>
  <c r="L932" i="1"/>
  <c r="K932" i="1" a="1"/>
  <c r="K932" i="1" s="1"/>
  <c r="J932" i="1"/>
  <c r="I932" i="1"/>
  <c r="L931" i="1"/>
  <c r="K931" i="1" a="1"/>
  <c r="K931" i="1" s="1"/>
  <c r="J931" i="1"/>
  <c r="I931" i="1"/>
  <c r="L930" i="1"/>
  <c r="K930" i="1" a="1"/>
  <c r="K930" i="1" s="1"/>
  <c r="J930" i="1"/>
  <c r="I930" i="1"/>
  <c r="L929" i="1"/>
  <c r="K929" i="1" a="1"/>
  <c r="K929" i="1" s="1"/>
  <c r="J929" i="1"/>
  <c r="I929" i="1"/>
  <c r="L928" i="1"/>
  <c r="K928" i="1" a="1"/>
  <c r="K928" i="1" s="1"/>
  <c r="J928" i="1"/>
  <c r="I928" i="1"/>
  <c r="L927" i="1"/>
  <c r="K927" i="1" a="1"/>
  <c r="K927" i="1" s="1"/>
  <c r="J927" i="1"/>
  <c r="I927" i="1"/>
  <c r="L926" i="1"/>
  <c r="K926" i="1" a="1"/>
  <c r="K926" i="1" s="1"/>
  <c r="J926" i="1"/>
  <c r="I926" i="1"/>
  <c r="L925" i="1"/>
  <c r="K925" i="1" a="1"/>
  <c r="K925" i="1" s="1"/>
  <c r="J925" i="1"/>
  <c r="I925" i="1"/>
  <c r="L924" i="1"/>
  <c r="K924" i="1" a="1"/>
  <c r="K924" i="1" s="1"/>
  <c r="J924" i="1"/>
  <c r="I924" i="1"/>
  <c r="L923" i="1"/>
  <c r="K923" i="1" a="1"/>
  <c r="K923" i="1" s="1"/>
  <c r="J923" i="1"/>
  <c r="I923" i="1"/>
  <c r="L922" i="1"/>
  <c r="K922" i="1"/>
  <c r="K922" i="1" a="1"/>
  <c r="J922" i="1"/>
  <c r="I922" i="1"/>
  <c r="L921" i="1"/>
  <c r="K921" i="1"/>
  <c r="K921" i="1" a="1"/>
  <c r="J921" i="1"/>
  <c r="I921" i="1"/>
  <c r="L920" i="1"/>
  <c r="K920" i="1" a="1"/>
  <c r="K920" i="1" s="1"/>
  <c r="J920" i="1"/>
  <c r="I920" i="1"/>
  <c r="L919" i="1"/>
  <c r="K919" i="1" a="1"/>
  <c r="K919" i="1" s="1"/>
  <c r="J919" i="1"/>
  <c r="I919" i="1"/>
  <c r="L918" i="1"/>
  <c r="K918" i="1" a="1"/>
  <c r="K918" i="1" s="1"/>
  <c r="J918" i="1"/>
  <c r="I918" i="1"/>
  <c r="L917" i="1"/>
  <c r="K917" i="1" a="1"/>
  <c r="K917" i="1" s="1"/>
  <c r="J917" i="1"/>
  <c r="I917" i="1"/>
  <c r="L916" i="1"/>
  <c r="K916" i="1" a="1"/>
  <c r="K916" i="1" s="1"/>
  <c r="J916" i="1"/>
  <c r="I916" i="1"/>
  <c r="L915" i="1"/>
  <c r="K915" i="1" a="1"/>
  <c r="K915" i="1" s="1"/>
  <c r="J915" i="1"/>
  <c r="I915" i="1"/>
  <c r="L914" i="1"/>
  <c r="K914" i="1" a="1"/>
  <c r="K914" i="1" s="1"/>
  <c r="J914" i="1"/>
  <c r="I914" i="1"/>
  <c r="L913" i="1"/>
  <c r="K913" i="1"/>
  <c r="K913" i="1" a="1"/>
  <c r="J913" i="1"/>
  <c r="I913" i="1"/>
  <c r="L912" i="1"/>
  <c r="K912" i="1" a="1"/>
  <c r="K912" i="1" s="1"/>
  <c r="J912" i="1"/>
  <c r="I912" i="1"/>
  <c r="L911" i="1"/>
  <c r="K911" i="1" a="1"/>
  <c r="K911" i="1" s="1"/>
  <c r="J911" i="1"/>
  <c r="I911" i="1"/>
  <c r="L910" i="1"/>
  <c r="K910" i="1"/>
  <c r="K910" i="1" a="1"/>
  <c r="J910" i="1"/>
  <c r="I910" i="1"/>
  <c r="L909" i="1"/>
  <c r="K909" i="1"/>
  <c r="K909" i="1" a="1"/>
  <c r="J909" i="1"/>
  <c r="I909" i="1"/>
  <c r="L908" i="1"/>
  <c r="K908" i="1"/>
  <c r="K908" i="1" a="1"/>
  <c r="J908" i="1"/>
  <c r="I908" i="1"/>
  <c r="L907" i="1"/>
  <c r="K907" i="1" a="1"/>
  <c r="K907" i="1" s="1"/>
  <c r="J907" i="1"/>
  <c r="I907" i="1"/>
  <c r="L906" i="1"/>
  <c r="K906" i="1" a="1"/>
  <c r="K906" i="1" s="1"/>
  <c r="J906" i="1"/>
  <c r="I906" i="1"/>
  <c r="L905" i="1"/>
  <c r="K905" i="1" a="1"/>
  <c r="K905" i="1" s="1"/>
  <c r="J905" i="1"/>
  <c r="I905" i="1"/>
  <c r="L904" i="1"/>
  <c r="K904" i="1"/>
  <c r="K904" i="1" a="1"/>
  <c r="J904" i="1"/>
  <c r="I904" i="1"/>
  <c r="L903" i="1"/>
  <c r="K903" i="1" a="1"/>
  <c r="K903" i="1" s="1"/>
  <c r="J903" i="1"/>
  <c r="I903" i="1"/>
  <c r="L902" i="1"/>
  <c r="K902" i="1" a="1"/>
  <c r="K902" i="1" s="1"/>
  <c r="J902" i="1"/>
  <c r="I902" i="1"/>
  <c r="L901" i="1"/>
  <c r="K901" i="1"/>
  <c r="K901" i="1" a="1"/>
  <c r="J901" i="1"/>
  <c r="I901" i="1"/>
  <c r="L900" i="1"/>
  <c r="K900" i="1" a="1"/>
  <c r="K900" i="1" s="1"/>
  <c r="J900" i="1"/>
  <c r="I900" i="1"/>
  <c r="L899" i="1"/>
  <c r="K899" i="1" a="1"/>
  <c r="K899" i="1" s="1"/>
  <c r="J899" i="1"/>
  <c r="I899" i="1"/>
  <c r="L898" i="1"/>
  <c r="K898" i="1"/>
  <c r="K898" i="1" a="1"/>
  <c r="J898" i="1"/>
  <c r="I898" i="1"/>
  <c r="L897" i="1"/>
  <c r="K897" i="1"/>
  <c r="K897" i="1" a="1"/>
  <c r="J897" i="1"/>
  <c r="I897" i="1"/>
  <c r="L896" i="1"/>
  <c r="K896" i="1" a="1"/>
  <c r="K896" i="1" s="1"/>
  <c r="J896" i="1"/>
  <c r="I896" i="1"/>
  <c r="L895" i="1"/>
  <c r="K895" i="1" a="1"/>
  <c r="K895" i="1" s="1"/>
  <c r="J895" i="1"/>
  <c r="I895" i="1"/>
  <c r="L894" i="1"/>
  <c r="K894" i="1" a="1"/>
  <c r="K894" i="1" s="1"/>
  <c r="J894" i="1"/>
  <c r="I894" i="1"/>
  <c r="L893" i="1"/>
  <c r="K893" i="1" a="1"/>
  <c r="K893" i="1" s="1"/>
  <c r="J893" i="1"/>
  <c r="I893" i="1"/>
  <c r="L892" i="1"/>
  <c r="K892" i="1"/>
  <c r="K892" i="1" a="1"/>
  <c r="J892" i="1"/>
  <c r="I892" i="1"/>
  <c r="L891" i="1"/>
  <c r="K891" i="1" a="1"/>
  <c r="K891" i="1" s="1"/>
  <c r="J891" i="1"/>
  <c r="I891" i="1"/>
  <c r="L890" i="1"/>
  <c r="K890" i="1" a="1"/>
  <c r="K890" i="1" s="1"/>
  <c r="J890" i="1"/>
  <c r="I890" i="1"/>
  <c r="L889" i="1"/>
  <c r="K889" i="1" a="1"/>
  <c r="K889" i="1" s="1"/>
  <c r="J889" i="1"/>
  <c r="I889" i="1"/>
  <c r="L888" i="1"/>
  <c r="K888" i="1" a="1"/>
  <c r="K888" i="1" s="1"/>
  <c r="J888" i="1"/>
  <c r="I888" i="1"/>
  <c r="L887" i="1"/>
  <c r="K887" i="1" a="1"/>
  <c r="K887" i="1" s="1"/>
  <c r="J887" i="1"/>
  <c r="I887" i="1"/>
  <c r="L886" i="1"/>
  <c r="K886" i="1"/>
  <c r="K886" i="1" a="1"/>
  <c r="J886" i="1"/>
  <c r="I886" i="1"/>
  <c r="L885" i="1"/>
  <c r="K885" i="1"/>
  <c r="K885" i="1" a="1"/>
  <c r="J885" i="1"/>
  <c r="I885" i="1"/>
  <c r="L884" i="1"/>
  <c r="K884" i="1" a="1"/>
  <c r="K884" i="1" s="1"/>
  <c r="J884" i="1"/>
  <c r="I884" i="1"/>
  <c r="L883" i="1"/>
  <c r="K883" i="1" a="1"/>
  <c r="K883" i="1" s="1"/>
  <c r="J883" i="1"/>
  <c r="I883" i="1"/>
  <c r="L882" i="1"/>
  <c r="K882" i="1" a="1"/>
  <c r="K882" i="1" s="1"/>
  <c r="J882" i="1"/>
  <c r="I882" i="1"/>
  <c r="L881" i="1"/>
  <c r="K881" i="1" a="1"/>
  <c r="K881" i="1" s="1"/>
  <c r="J881" i="1"/>
  <c r="I881" i="1"/>
  <c r="L880" i="1"/>
  <c r="K880" i="1"/>
  <c r="K880" i="1" a="1"/>
  <c r="J880" i="1"/>
  <c r="I880" i="1"/>
  <c r="L879" i="1"/>
  <c r="K879" i="1" a="1"/>
  <c r="K879" i="1" s="1"/>
  <c r="J879" i="1"/>
  <c r="I879" i="1"/>
  <c r="L878" i="1"/>
  <c r="K878" i="1"/>
  <c r="K878" i="1" a="1"/>
  <c r="J878" i="1"/>
  <c r="I878" i="1"/>
  <c r="L877" i="1"/>
  <c r="K877" i="1" a="1"/>
  <c r="K877" i="1" s="1"/>
  <c r="J877" i="1"/>
  <c r="I877" i="1"/>
  <c r="L876" i="1"/>
  <c r="K876" i="1" a="1"/>
  <c r="K876" i="1" s="1"/>
  <c r="J876" i="1"/>
  <c r="I876" i="1"/>
  <c r="L875" i="1"/>
  <c r="K875" i="1" a="1"/>
  <c r="K875" i="1" s="1"/>
  <c r="J875" i="1"/>
  <c r="I875" i="1"/>
  <c r="L874" i="1"/>
  <c r="K874" i="1"/>
  <c r="K874" i="1" a="1"/>
  <c r="J874" i="1"/>
  <c r="I874" i="1"/>
  <c r="L873" i="1"/>
  <c r="K873" i="1"/>
  <c r="K873" i="1" a="1"/>
  <c r="J873" i="1"/>
  <c r="I873" i="1"/>
  <c r="L872" i="1"/>
  <c r="K872" i="1" a="1"/>
  <c r="K872" i="1" s="1"/>
  <c r="J872" i="1"/>
  <c r="I872" i="1"/>
  <c r="L871" i="1"/>
  <c r="K871" i="1" a="1"/>
  <c r="K871" i="1" s="1"/>
  <c r="J871" i="1"/>
  <c r="I871" i="1"/>
  <c r="L870" i="1"/>
  <c r="K870" i="1" a="1"/>
  <c r="K870" i="1" s="1"/>
  <c r="J870" i="1"/>
  <c r="I870" i="1"/>
  <c r="L869" i="1"/>
  <c r="K869" i="1" a="1"/>
  <c r="K869" i="1" s="1"/>
  <c r="J869" i="1"/>
  <c r="I869" i="1"/>
  <c r="L868" i="1"/>
  <c r="K868" i="1"/>
  <c r="K868" i="1" a="1"/>
  <c r="J868" i="1"/>
  <c r="I868" i="1"/>
  <c r="L867" i="1"/>
  <c r="K867" i="1" a="1"/>
  <c r="K867" i="1" s="1"/>
  <c r="J867" i="1"/>
  <c r="I867" i="1"/>
  <c r="L866" i="1"/>
  <c r="K866" i="1" a="1"/>
  <c r="K866" i="1" s="1"/>
  <c r="J866" i="1"/>
  <c r="I866" i="1"/>
  <c r="L865" i="1"/>
  <c r="K865" i="1"/>
  <c r="K865" i="1" a="1"/>
  <c r="J865" i="1"/>
  <c r="I865" i="1"/>
  <c r="L864" i="1"/>
  <c r="K864" i="1" a="1"/>
  <c r="K864" i="1" s="1"/>
  <c r="J864" i="1"/>
  <c r="I864" i="1"/>
  <c r="L863" i="1"/>
  <c r="K863" i="1" a="1"/>
  <c r="K863" i="1" s="1"/>
  <c r="J863" i="1"/>
  <c r="I863" i="1"/>
  <c r="L862" i="1"/>
  <c r="K862" i="1"/>
  <c r="K862" i="1" a="1"/>
  <c r="J862" i="1"/>
  <c r="I862" i="1"/>
  <c r="L861" i="1"/>
  <c r="K861" i="1"/>
  <c r="K861" i="1" a="1"/>
  <c r="J861" i="1"/>
  <c r="I861" i="1"/>
  <c r="L860" i="1"/>
  <c r="K860" i="1"/>
  <c r="K860" i="1" a="1"/>
  <c r="J860" i="1"/>
  <c r="I860" i="1"/>
  <c r="L859" i="1"/>
  <c r="K859" i="1" a="1"/>
  <c r="K859" i="1" s="1"/>
  <c r="J859" i="1"/>
  <c r="I859" i="1"/>
  <c r="L858" i="1"/>
  <c r="K858" i="1" a="1"/>
  <c r="K858" i="1" s="1"/>
  <c r="J858" i="1"/>
  <c r="I858" i="1"/>
  <c r="L857" i="1"/>
  <c r="K857" i="1" a="1"/>
  <c r="K857" i="1" s="1"/>
  <c r="J857" i="1"/>
  <c r="I857" i="1"/>
  <c r="L856" i="1"/>
  <c r="K856" i="1"/>
  <c r="K856" i="1" a="1"/>
  <c r="J856" i="1"/>
  <c r="I856" i="1"/>
  <c r="L855" i="1"/>
  <c r="K855" i="1" a="1"/>
  <c r="K855" i="1" s="1"/>
  <c r="J855" i="1"/>
  <c r="I855" i="1"/>
  <c r="L854" i="1"/>
  <c r="K854" i="1" a="1"/>
  <c r="K854" i="1" s="1"/>
  <c r="J854" i="1"/>
  <c r="I854" i="1"/>
  <c r="L853" i="1"/>
  <c r="K853" i="1" a="1"/>
  <c r="K853" i="1" s="1"/>
  <c r="J853" i="1"/>
  <c r="I853" i="1"/>
  <c r="L852" i="1"/>
  <c r="K852" i="1" a="1"/>
  <c r="K852" i="1" s="1"/>
  <c r="J852" i="1"/>
  <c r="I852" i="1"/>
  <c r="L851" i="1"/>
  <c r="K851" i="1" a="1"/>
  <c r="K851" i="1" s="1"/>
  <c r="J851" i="1"/>
  <c r="I851" i="1"/>
  <c r="L850" i="1"/>
  <c r="K850" i="1"/>
  <c r="K850" i="1" a="1"/>
  <c r="J850" i="1"/>
  <c r="I850" i="1"/>
  <c r="L849" i="1"/>
  <c r="K849" i="1"/>
  <c r="K849" i="1" a="1"/>
  <c r="J849" i="1"/>
  <c r="I849" i="1"/>
  <c r="L848" i="1"/>
  <c r="K848" i="1" a="1"/>
  <c r="K848" i="1" s="1"/>
  <c r="J848" i="1"/>
  <c r="I848" i="1"/>
  <c r="L847" i="1"/>
  <c r="K847" i="1" a="1"/>
  <c r="K847" i="1" s="1"/>
  <c r="J847" i="1"/>
  <c r="I847" i="1"/>
  <c r="L846" i="1"/>
  <c r="K846" i="1" a="1"/>
  <c r="K846" i="1" s="1"/>
  <c r="J846" i="1"/>
  <c r="I846" i="1"/>
  <c r="L845" i="1"/>
  <c r="K845" i="1" a="1"/>
  <c r="K845" i="1" s="1"/>
  <c r="J845" i="1"/>
  <c r="I845" i="1"/>
  <c r="L844" i="1"/>
  <c r="K844" i="1"/>
  <c r="K844" i="1" a="1"/>
  <c r="J844" i="1"/>
  <c r="I844" i="1"/>
  <c r="L843" i="1"/>
  <c r="K843" i="1" a="1"/>
  <c r="K843" i="1" s="1"/>
  <c r="J843" i="1"/>
  <c r="I843" i="1"/>
  <c r="L842" i="1"/>
  <c r="K842" i="1" a="1"/>
  <c r="K842" i="1" s="1"/>
  <c r="J842" i="1"/>
  <c r="I842" i="1"/>
  <c r="L841" i="1"/>
  <c r="K841" i="1" a="1"/>
  <c r="K841" i="1" s="1"/>
  <c r="J841" i="1"/>
  <c r="I841" i="1"/>
  <c r="L840" i="1"/>
  <c r="K840" i="1" a="1"/>
  <c r="K840" i="1" s="1"/>
  <c r="J840" i="1"/>
  <c r="I840" i="1"/>
  <c r="L839" i="1"/>
  <c r="K839" i="1" a="1"/>
  <c r="K839" i="1" s="1"/>
  <c r="J839" i="1"/>
  <c r="I839" i="1"/>
  <c r="L838" i="1"/>
  <c r="K838" i="1"/>
  <c r="K838" i="1" a="1"/>
  <c r="J838" i="1"/>
  <c r="I838" i="1"/>
  <c r="L837" i="1"/>
  <c r="K837" i="1"/>
  <c r="K837" i="1" a="1"/>
  <c r="J837" i="1"/>
  <c r="I837" i="1"/>
  <c r="L836" i="1"/>
  <c r="K836" i="1" a="1"/>
  <c r="K836" i="1" s="1"/>
  <c r="J836" i="1"/>
  <c r="I836" i="1"/>
  <c r="L835" i="1"/>
  <c r="K835" i="1" a="1"/>
  <c r="K835" i="1" s="1"/>
  <c r="J835" i="1"/>
  <c r="I835" i="1"/>
  <c r="L834" i="1"/>
  <c r="K834" i="1" a="1"/>
  <c r="K834" i="1" s="1"/>
  <c r="J834" i="1"/>
  <c r="I834" i="1"/>
  <c r="L833" i="1"/>
  <c r="K833" i="1" a="1"/>
  <c r="K833" i="1" s="1"/>
  <c r="J833" i="1"/>
  <c r="I833" i="1"/>
  <c r="L832" i="1"/>
  <c r="K832" i="1"/>
  <c r="K832" i="1" a="1"/>
  <c r="J832" i="1"/>
  <c r="I832" i="1"/>
  <c r="L831" i="1"/>
  <c r="K831" i="1" a="1"/>
  <c r="K831" i="1" s="1"/>
  <c r="J831" i="1"/>
  <c r="I831" i="1"/>
  <c r="L830" i="1"/>
  <c r="K830" i="1"/>
  <c r="K830" i="1" a="1"/>
  <c r="J830" i="1"/>
  <c r="I830" i="1"/>
  <c r="L829" i="1"/>
  <c r="K829" i="1" a="1"/>
  <c r="K829" i="1" s="1"/>
  <c r="J829" i="1"/>
  <c r="I829" i="1"/>
  <c r="L828" i="1"/>
  <c r="K828" i="1" a="1"/>
  <c r="K828" i="1" s="1"/>
  <c r="J828" i="1"/>
  <c r="I828" i="1"/>
  <c r="L827" i="1"/>
  <c r="K827" i="1" a="1"/>
  <c r="K827" i="1" s="1"/>
  <c r="J827" i="1"/>
  <c r="I827" i="1"/>
  <c r="L826" i="1"/>
  <c r="K826" i="1"/>
  <c r="K826" i="1" a="1"/>
  <c r="J826" i="1"/>
  <c r="I826" i="1"/>
  <c r="L825" i="1"/>
  <c r="K825" i="1"/>
  <c r="K825" i="1" a="1"/>
  <c r="J825" i="1"/>
  <c r="I825" i="1"/>
  <c r="L824" i="1"/>
  <c r="K824" i="1" a="1"/>
  <c r="K824" i="1" s="1"/>
  <c r="J824" i="1"/>
  <c r="I824" i="1"/>
  <c r="L823" i="1"/>
  <c r="K823" i="1" a="1"/>
  <c r="K823" i="1" s="1"/>
  <c r="J823" i="1"/>
  <c r="I823" i="1"/>
  <c r="L822" i="1"/>
  <c r="K822" i="1" a="1"/>
  <c r="K822" i="1" s="1"/>
  <c r="J822" i="1"/>
  <c r="I822" i="1"/>
  <c r="L821" i="1"/>
  <c r="K821" i="1" a="1"/>
  <c r="K821" i="1" s="1"/>
  <c r="J821" i="1"/>
  <c r="I821" i="1"/>
  <c r="L820" i="1"/>
  <c r="K820" i="1"/>
  <c r="K820" i="1" a="1"/>
  <c r="J820" i="1"/>
  <c r="I820" i="1"/>
  <c r="L819" i="1"/>
  <c r="K819" i="1" a="1"/>
  <c r="K819" i="1" s="1"/>
  <c r="J819" i="1"/>
  <c r="I819" i="1"/>
  <c r="L818" i="1"/>
  <c r="K818" i="1"/>
  <c r="K818" i="1" a="1"/>
  <c r="J818" i="1"/>
  <c r="I818" i="1"/>
  <c r="L817" i="1"/>
  <c r="K817" i="1"/>
  <c r="K817" i="1" a="1"/>
  <c r="J817" i="1"/>
  <c r="I817" i="1"/>
  <c r="L816" i="1"/>
  <c r="K816" i="1" a="1"/>
  <c r="K816" i="1" s="1"/>
  <c r="J816" i="1"/>
  <c r="I816" i="1"/>
  <c r="L815" i="1"/>
  <c r="K815" i="1" a="1"/>
  <c r="K815" i="1" s="1"/>
  <c r="J815" i="1"/>
  <c r="I815" i="1"/>
  <c r="L814" i="1"/>
  <c r="K814" i="1"/>
  <c r="K814" i="1" a="1"/>
  <c r="J814" i="1"/>
  <c r="I814" i="1"/>
  <c r="L813" i="1"/>
  <c r="K813" i="1"/>
  <c r="K813" i="1" a="1"/>
  <c r="J813" i="1"/>
  <c r="I813" i="1"/>
  <c r="L812" i="1"/>
  <c r="K812" i="1"/>
  <c r="K812" i="1" a="1"/>
  <c r="J812" i="1"/>
  <c r="I812" i="1"/>
  <c r="L811" i="1"/>
  <c r="K811" i="1" a="1"/>
  <c r="K811" i="1" s="1"/>
  <c r="J811" i="1"/>
  <c r="I811" i="1"/>
  <c r="L810" i="1"/>
  <c r="K810" i="1" a="1"/>
  <c r="K810" i="1" s="1"/>
  <c r="J810" i="1"/>
  <c r="I810" i="1"/>
  <c r="L809" i="1"/>
  <c r="K809" i="1" a="1"/>
  <c r="K809" i="1" s="1"/>
  <c r="J809" i="1"/>
  <c r="I809" i="1"/>
  <c r="L808" i="1"/>
  <c r="K808" i="1"/>
  <c r="K808" i="1" a="1"/>
  <c r="J808" i="1"/>
  <c r="I808" i="1"/>
  <c r="L807" i="1"/>
  <c r="K807" i="1" a="1"/>
  <c r="K807" i="1" s="1"/>
  <c r="J807" i="1"/>
  <c r="I807" i="1"/>
  <c r="L806" i="1"/>
  <c r="K806" i="1" a="1"/>
  <c r="K806" i="1" s="1"/>
  <c r="J806" i="1"/>
  <c r="I806" i="1"/>
  <c r="L805" i="1"/>
  <c r="K805" i="1" a="1"/>
  <c r="K805" i="1" s="1"/>
  <c r="J805" i="1"/>
  <c r="I805" i="1"/>
  <c r="L804" i="1"/>
  <c r="K804" i="1" a="1"/>
  <c r="K804" i="1" s="1"/>
  <c r="J804" i="1"/>
  <c r="I804" i="1"/>
  <c r="L803" i="1"/>
  <c r="K803" i="1" a="1"/>
  <c r="K803" i="1" s="1"/>
  <c r="J803" i="1"/>
  <c r="I803" i="1"/>
  <c r="L802" i="1"/>
  <c r="K802" i="1"/>
  <c r="K802" i="1" a="1"/>
  <c r="J802" i="1"/>
  <c r="I802" i="1"/>
  <c r="L801" i="1"/>
  <c r="K801" i="1"/>
  <c r="K801" i="1" a="1"/>
  <c r="J801" i="1"/>
  <c r="I801" i="1"/>
  <c r="L800" i="1"/>
  <c r="K800" i="1" a="1"/>
  <c r="K800" i="1" s="1"/>
  <c r="J800" i="1"/>
  <c r="I800" i="1"/>
  <c r="L799" i="1"/>
  <c r="K799" i="1" a="1"/>
  <c r="K799" i="1" s="1"/>
  <c r="J799" i="1"/>
  <c r="I799" i="1"/>
  <c r="L798" i="1"/>
  <c r="K798" i="1" a="1"/>
  <c r="K798" i="1" s="1"/>
  <c r="J798" i="1"/>
  <c r="I798" i="1"/>
  <c r="L797" i="1"/>
  <c r="K797" i="1" a="1"/>
  <c r="K797" i="1" s="1"/>
  <c r="J797" i="1"/>
  <c r="I797" i="1"/>
  <c r="L796" i="1"/>
  <c r="K796" i="1"/>
  <c r="K796" i="1" a="1"/>
  <c r="J796" i="1"/>
  <c r="I796" i="1"/>
  <c r="L795" i="1"/>
  <c r="K795" i="1" a="1"/>
  <c r="K795" i="1" s="1"/>
  <c r="J795" i="1"/>
  <c r="I795" i="1"/>
  <c r="L794" i="1"/>
  <c r="K794" i="1" a="1"/>
  <c r="K794" i="1" s="1"/>
  <c r="J794" i="1"/>
  <c r="I794" i="1"/>
  <c r="L793" i="1"/>
  <c r="K793" i="1" a="1"/>
  <c r="K793" i="1" s="1"/>
  <c r="J793" i="1"/>
  <c r="I793" i="1"/>
  <c r="L792" i="1"/>
  <c r="K792" i="1" a="1"/>
  <c r="K792" i="1" s="1"/>
  <c r="J792" i="1"/>
  <c r="I792" i="1"/>
  <c r="L791" i="1"/>
  <c r="K791" i="1" a="1"/>
  <c r="K791" i="1" s="1"/>
  <c r="J791" i="1"/>
  <c r="I791" i="1"/>
  <c r="L790" i="1"/>
  <c r="K790" i="1"/>
  <c r="K790" i="1" a="1"/>
  <c r="J790" i="1"/>
  <c r="I790" i="1"/>
  <c r="L789" i="1"/>
  <c r="K789" i="1"/>
  <c r="K789" i="1" a="1"/>
  <c r="J789" i="1"/>
  <c r="I789" i="1"/>
  <c r="L788" i="1"/>
  <c r="K788" i="1" a="1"/>
  <c r="K788" i="1" s="1"/>
  <c r="J788" i="1"/>
  <c r="I788" i="1"/>
  <c r="L787" i="1"/>
  <c r="K787" i="1" a="1"/>
  <c r="K787" i="1" s="1"/>
  <c r="J787" i="1"/>
  <c r="I787" i="1"/>
  <c r="L786" i="1"/>
  <c r="K786" i="1" a="1"/>
  <c r="K786" i="1" s="1"/>
  <c r="J786" i="1"/>
  <c r="I786" i="1"/>
  <c r="L785" i="1"/>
  <c r="K785" i="1" a="1"/>
  <c r="K785" i="1" s="1"/>
  <c r="J785" i="1"/>
  <c r="I785" i="1"/>
  <c r="L784" i="1"/>
  <c r="K784" i="1"/>
  <c r="K784" i="1" a="1"/>
  <c r="J784" i="1"/>
  <c r="I784" i="1"/>
  <c r="L783" i="1"/>
  <c r="K783" i="1" a="1"/>
  <c r="K783" i="1" s="1"/>
  <c r="J783" i="1"/>
  <c r="I783" i="1"/>
  <c r="L782" i="1"/>
  <c r="K782" i="1"/>
  <c r="K782" i="1" a="1"/>
  <c r="J782" i="1"/>
  <c r="I782" i="1"/>
  <c r="L781" i="1"/>
  <c r="K781" i="1" a="1"/>
  <c r="K781" i="1" s="1"/>
  <c r="J781" i="1"/>
  <c r="I781" i="1"/>
  <c r="L780" i="1"/>
  <c r="K780" i="1" a="1"/>
  <c r="K780" i="1" s="1"/>
  <c r="J780" i="1"/>
  <c r="I780" i="1"/>
  <c r="L779" i="1"/>
  <c r="K779" i="1" a="1"/>
  <c r="K779" i="1" s="1"/>
  <c r="J779" i="1"/>
  <c r="I779" i="1"/>
  <c r="L778" i="1"/>
  <c r="K778" i="1"/>
  <c r="K778" i="1" a="1"/>
  <c r="J778" i="1"/>
  <c r="I778" i="1"/>
  <c r="L777" i="1"/>
  <c r="K777" i="1"/>
  <c r="K777" i="1" a="1"/>
  <c r="J777" i="1"/>
  <c r="I777" i="1"/>
  <c r="L776" i="1"/>
  <c r="K776" i="1" a="1"/>
  <c r="K776" i="1" s="1"/>
  <c r="J776" i="1"/>
  <c r="I776" i="1"/>
  <c r="L775" i="1"/>
  <c r="K775" i="1" a="1"/>
  <c r="K775" i="1" s="1"/>
  <c r="J775" i="1"/>
  <c r="I775" i="1"/>
  <c r="L774" i="1"/>
  <c r="K774" i="1" a="1"/>
  <c r="K774" i="1" s="1"/>
  <c r="J774" i="1"/>
  <c r="I774" i="1"/>
  <c r="L773" i="1"/>
  <c r="K773" i="1" a="1"/>
  <c r="K773" i="1" s="1"/>
  <c r="J773" i="1"/>
  <c r="I773" i="1"/>
  <c r="L772" i="1"/>
  <c r="K772" i="1"/>
  <c r="K772" i="1" a="1"/>
  <c r="J772" i="1"/>
  <c r="I772" i="1"/>
  <c r="L771" i="1"/>
  <c r="K771" i="1" a="1"/>
  <c r="K771" i="1" s="1"/>
  <c r="J771" i="1"/>
  <c r="I771" i="1"/>
  <c r="L770" i="1"/>
  <c r="K770" i="1" a="1"/>
  <c r="K770" i="1" s="1"/>
  <c r="J770" i="1"/>
  <c r="I770" i="1"/>
  <c r="L769" i="1"/>
  <c r="K769" i="1"/>
  <c r="K769" i="1" a="1"/>
  <c r="J769" i="1"/>
  <c r="I769" i="1"/>
  <c r="L768" i="1"/>
  <c r="K768" i="1" a="1"/>
  <c r="K768" i="1" s="1"/>
  <c r="J768" i="1"/>
  <c r="I768" i="1"/>
  <c r="L767" i="1"/>
  <c r="K767" i="1" a="1"/>
  <c r="K767" i="1" s="1"/>
  <c r="J767" i="1"/>
  <c r="I767" i="1"/>
  <c r="L766" i="1"/>
  <c r="K766" i="1"/>
  <c r="K766" i="1" a="1"/>
  <c r="J766" i="1"/>
  <c r="I766" i="1"/>
  <c r="L765" i="1"/>
  <c r="K765" i="1"/>
  <c r="K765" i="1" a="1"/>
  <c r="J765" i="1"/>
  <c r="I765" i="1"/>
  <c r="L764" i="1"/>
  <c r="K764" i="1"/>
  <c r="K764" i="1" a="1"/>
  <c r="J764" i="1"/>
  <c r="I764" i="1"/>
  <c r="L763" i="1"/>
  <c r="K763" i="1" a="1"/>
  <c r="K763" i="1" s="1"/>
  <c r="J763" i="1"/>
  <c r="I763" i="1"/>
  <c r="L762" i="1"/>
  <c r="K762" i="1" a="1"/>
  <c r="K762" i="1" s="1"/>
  <c r="J762" i="1"/>
  <c r="I762" i="1"/>
  <c r="L761" i="1"/>
  <c r="K761" i="1" a="1"/>
  <c r="K761" i="1" s="1"/>
  <c r="J761" i="1"/>
  <c r="I761" i="1"/>
  <c r="L760" i="1"/>
  <c r="K760" i="1"/>
  <c r="K760" i="1" a="1"/>
  <c r="J760" i="1"/>
  <c r="I760" i="1"/>
  <c r="L759" i="1"/>
  <c r="K759" i="1" a="1"/>
  <c r="K759" i="1" s="1"/>
  <c r="J759" i="1"/>
  <c r="I759" i="1"/>
  <c r="L758" i="1"/>
  <c r="K758" i="1" a="1"/>
  <c r="K758" i="1" s="1"/>
  <c r="J758" i="1"/>
  <c r="I758" i="1"/>
  <c r="L757" i="1"/>
  <c r="K757" i="1" a="1"/>
  <c r="K757" i="1" s="1"/>
  <c r="J757" i="1"/>
  <c r="I757" i="1"/>
  <c r="L756" i="1"/>
  <c r="K756" i="1" a="1"/>
  <c r="K756" i="1" s="1"/>
  <c r="J756" i="1"/>
  <c r="I756" i="1"/>
  <c r="L755" i="1"/>
  <c r="K755" i="1" a="1"/>
  <c r="K755" i="1" s="1"/>
  <c r="J755" i="1"/>
  <c r="I755" i="1"/>
  <c r="L754" i="1"/>
  <c r="K754" i="1"/>
  <c r="K754" i="1" a="1"/>
  <c r="J754" i="1"/>
  <c r="I754" i="1"/>
  <c r="L753" i="1"/>
  <c r="K753" i="1"/>
  <c r="K753" i="1" a="1"/>
  <c r="J753" i="1"/>
  <c r="I753" i="1"/>
  <c r="L752" i="1"/>
  <c r="K752" i="1" a="1"/>
  <c r="K752" i="1" s="1"/>
  <c r="J752" i="1"/>
  <c r="I752" i="1"/>
  <c r="L751" i="1"/>
  <c r="K751" i="1" a="1"/>
  <c r="K751" i="1" s="1"/>
  <c r="J751" i="1"/>
  <c r="I751" i="1"/>
  <c r="L750" i="1"/>
  <c r="K750" i="1" a="1"/>
  <c r="K750" i="1" s="1"/>
  <c r="J750" i="1"/>
  <c r="I750" i="1"/>
  <c r="L749" i="1"/>
  <c r="K749" i="1" a="1"/>
  <c r="K749" i="1" s="1"/>
  <c r="J749" i="1"/>
  <c r="I749" i="1"/>
  <c r="L748" i="1"/>
  <c r="K748" i="1"/>
  <c r="K748" i="1" a="1"/>
  <c r="J748" i="1"/>
  <c r="I748" i="1"/>
  <c r="L747" i="1"/>
  <c r="K747" i="1" a="1"/>
  <c r="K747" i="1" s="1"/>
  <c r="J747" i="1"/>
  <c r="I747" i="1"/>
  <c r="L746" i="1"/>
  <c r="K746" i="1" a="1"/>
  <c r="K746" i="1" s="1"/>
  <c r="J746" i="1"/>
  <c r="I746" i="1"/>
  <c r="L745" i="1"/>
  <c r="K745" i="1" a="1"/>
  <c r="K745" i="1" s="1"/>
  <c r="J745" i="1"/>
  <c r="I745" i="1"/>
  <c r="L744" i="1"/>
  <c r="K744" i="1" a="1"/>
  <c r="K744" i="1" s="1"/>
  <c r="J744" i="1"/>
  <c r="I744" i="1"/>
  <c r="L743" i="1"/>
  <c r="K743" i="1" a="1"/>
  <c r="K743" i="1" s="1"/>
  <c r="J743" i="1"/>
  <c r="I743" i="1"/>
  <c r="L742" i="1"/>
  <c r="K742" i="1"/>
  <c r="K742" i="1" a="1"/>
  <c r="J742" i="1"/>
  <c r="I742" i="1"/>
  <c r="L741" i="1"/>
  <c r="K741" i="1"/>
  <c r="K741" i="1" a="1"/>
  <c r="J741" i="1"/>
  <c r="I741" i="1"/>
  <c r="L740" i="1"/>
  <c r="K740" i="1" a="1"/>
  <c r="K740" i="1" s="1"/>
  <c r="J740" i="1"/>
  <c r="I740" i="1"/>
  <c r="L739" i="1"/>
  <c r="K739" i="1" a="1"/>
  <c r="K739" i="1" s="1"/>
  <c r="J739" i="1"/>
  <c r="I739" i="1"/>
  <c r="L738" i="1"/>
  <c r="K738" i="1" a="1"/>
  <c r="K738" i="1" s="1"/>
  <c r="J738" i="1"/>
  <c r="I738" i="1"/>
  <c r="L737" i="1"/>
  <c r="K737" i="1" a="1"/>
  <c r="K737" i="1" s="1"/>
  <c r="J737" i="1"/>
  <c r="I737" i="1"/>
  <c r="L736" i="1"/>
  <c r="K736" i="1"/>
  <c r="K736" i="1" a="1"/>
  <c r="J736" i="1"/>
  <c r="I736" i="1"/>
  <c r="L735" i="1"/>
  <c r="K735" i="1" a="1"/>
  <c r="K735" i="1" s="1"/>
  <c r="J735" i="1"/>
  <c r="I735" i="1"/>
  <c r="L734" i="1"/>
  <c r="K734" i="1"/>
  <c r="K734" i="1" a="1"/>
  <c r="J734" i="1"/>
  <c r="I734" i="1"/>
  <c r="L733" i="1"/>
  <c r="K733" i="1" a="1"/>
  <c r="K733" i="1" s="1"/>
  <c r="J733" i="1"/>
  <c r="I733" i="1"/>
  <c r="L732" i="1"/>
  <c r="K732" i="1" a="1"/>
  <c r="K732" i="1" s="1"/>
  <c r="J732" i="1"/>
  <c r="I732" i="1"/>
  <c r="L731" i="1"/>
  <c r="K731" i="1" a="1"/>
  <c r="K731" i="1" s="1"/>
  <c r="J731" i="1"/>
  <c r="I731" i="1"/>
  <c r="L730" i="1"/>
  <c r="K730" i="1"/>
  <c r="K730" i="1" a="1"/>
  <c r="J730" i="1"/>
  <c r="I730" i="1"/>
  <c r="L729" i="1"/>
  <c r="K729" i="1"/>
  <c r="K729" i="1" a="1"/>
  <c r="J729" i="1"/>
  <c r="I729" i="1"/>
  <c r="L728" i="1"/>
  <c r="K728" i="1" a="1"/>
  <c r="K728" i="1" s="1"/>
  <c r="J728" i="1"/>
  <c r="I728" i="1"/>
  <c r="L727" i="1"/>
  <c r="K727" i="1"/>
  <c r="K727" i="1" a="1"/>
  <c r="J727" i="1"/>
  <c r="I727" i="1"/>
  <c r="L726" i="1"/>
  <c r="K726" i="1" a="1"/>
  <c r="K726" i="1" s="1"/>
  <c r="J726" i="1"/>
  <c r="I726" i="1"/>
  <c r="L725" i="1"/>
  <c r="K725" i="1" a="1"/>
  <c r="K725" i="1" s="1"/>
  <c r="J725" i="1"/>
  <c r="I725" i="1"/>
  <c r="L724" i="1"/>
  <c r="K724" i="1"/>
  <c r="K724" i="1" a="1"/>
  <c r="J724" i="1"/>
  <c r="I724" i="1"/>
  <c r="L723" i="1"/>
  <c r="K723" i="1" a="1"/>
  <c r="K723" i="1" s="1"/>
  <c r="J723" i="1"/>
  <c r="I723" i="1"/>
  <c r="L722" i="1"/>
  <c r="K722" i="1" a="1"/>
  <c r="K722" i="1" s="1"/>
  <c r="J722" i="1"/>
  <c r="I722" i="1"/>
  <c r="L721" i="1"/>
  <c r="K721" i="1"/>
  <c r="K721" i="1" a="1"/>
  <c r="J721" i="1"/>
  <c r="I721" i="1"/>
  <c r="L720" i="1"/>
  <c r="K720" i="1" a="1"/>
  <c r="K720" i="1" s="1"/>
  <c r="J720" i="1"/>
  <c r="I720" i="1"/>
  <c r="L719" i="1"/>
  <c r="K719" i="1" a="1"/>
  <c r="K719" i="1" s="1"/>
  <c r="J719" i="1"/>
  <c r="I719" i="1"/>
  <c r="L718" i="1"/>
  <c r="K718" i="1"/>
  <c r="K718" i="1" a="1"/>
  <c r="J718" i="1"/>
  <c r="I718" i="1"/>
  <c r="L717" i="1"/>
  <c r="K717" i="1"/>
  <c r="K717" i="1" a="1"/>
  <c r="J717" i="1"/>
  <c r="I717" i="1"/>
  <c r="L716" i="1"/>
  <c r="K716" i="1"/>
  <c r="K716" i="1" a="1"/>
  <c r="J716" i="1"/>
  <c r="I716" i="1"/>
  <c r="L715" i="1"/>
  <c r="K715" i="1" a="1"/>
  <c r="K715" i="1" s="1"/>
  <c r="J715" i="1"/>
  <c r="I715" i="1"/>
  <c r="L714" i="1"/>
  <c r="K714" i="1" a="1"/>
  <c r="K714" i="1" s="1"/>
  <c r="J714" i="1"/>
  <c r="I714" i="1"/>
  <c r="L713" i="1"/>
  <c r="K713" i="1" a="1"/>
  <c r="K713" i="1" s="1"/>
  <c r="J713" i="1"/>
  <c r="I713" i="1"/>
  <c r="L712" i="1"/>
  <c r="K712" i="1"/>
  <c r="K712" i="1" a="1"/>
  <c r="J712" i="1"/>
  <c r="I712" i="1"/>
  <c r="L711" i="1"/>
  <c r="K711" i="1" a="1"/>
  <c r="K711" i="1" s="1"/>
  <c r="J711" i="1"/>
  <c r="I711" i="1"/>
  <c r="L710" i="1"/>
  <c r="K710" i="1" a="1"/>
  <c r="K710" i="1" s="1"/>
  <c r="J710" i="1"/>
  <c r="I710" i="1"/>
  <c r="L709" i="1"/>
  <c r="K709" i="1" a="1"/>
  <c r="K709" i="1" s="1"/>
  <c r="J709" i="1"/>
  <c r="I709" i="1"/>
  <c r="L708" i="1"/>
  <c r="K708" i="1" a="1"/>
  <c r="K708" i="1" s="1"/>
  <c r="J708" i="1"/>
  <c r="I708" i="1"/>
  <c r="L707" i="1"/>
  <c r="K707" i="1" a="1"/>
  <c r="K707" i="1" s="1"/>
  <c r="J707" i="1"/>
  <c r="I707" i="1"/>
  <c r="L706" i="1"/>
  <c r="K706" i="1"/>
  <c r="K706" i="1" a="1"/>
  <c r="J706" i="1"/>
  <c r="I706" i="1"/>
  <c r="L705" i="1"/>
  <c r="K705" i="1"/>
  <c r="K705" i="1" a="1"/>
  <c r="J705" i="1"/>
  <c r="I705" i="1"/>
  <c r="L704" i="1"/>
  <c r="K704" i="1" a="1"/>
  <c r="K704" i="1" s="1"/>
  <c r="J704" i="1"/>
  <c r="I704" i="1"/>
  <c r="L703" i="1"/>
  <c r="K703" i="1" a="1"/>
  <c r="K703" i="1" s="1"/>
  <c r="J703" i="1"/>
  <c r="I703" i="1"/>
  <c r="L702" i="1"/>
  <c r="K702" i="1" a="1"/>
  <c r="K702" i="1" s="1"/>
  <c r="J702" i="1"/>
  <c r="I702" i="1"/>
  <c r="L701" i="1"/>
  <c r="K701" i="1" a="1"/>
  <c r="K701" i="1" s="1"/>
  <c r="J701" i="1"/>
  <c r="I701" i="1"/>
  <c r="L700" i="1"/>
  <c r="K700" i="1"/>
  <c r="K700" i="1" a="1"/>
  <c r="J700" i="1"/>
  <c r="I700" i="1"/>
  <c r="L699" i="1"/>
  <c r="K699" i="1" a="1"/>
  <c r="K699" i="1" s="1"/>
  <c r="J699" i="1"/>
  <c r="I699" i="1"/>
  <c r="L698" i="1"/>
  <c r="K698" i="1" a="1"/>
  <c r="K698" i="1" s="1"/>
  <c r="J698" i="1"/>
  <c r="I698" i="1"/>
  <c r="L697" i="1"/>
  <c r="K697" i="1" a="1"/>
  <c r="K697" i="1" s="1"/>
  <c r="J697" i="1"/>
  <c r="I697" i="1"/>
  <c r="L696" i="1"/>
  <c r="K696" i="1" a="1"/>
  <c r="K696" i="1" s="1"/>
  <c r="J696" i="1"/>
  <c r="I696" i="1"/>
  <c r="L695" i="1"/>
  <c r="K695" i="1" a="1"/>
  <c r="K695" i="1" s="1"/>
  <c r="J695" i="1"/>
  <c r="I695" i="1"/>
  <c r="L694" i="1"/>
  <c r="K694" i="1"/>
  <c r="K694" i="1" a="1"/>
  <c r="J694" i="1"/>
  <c r="I694" i="1"/>
  <c r="L693" i="1"/>
  <c r="K693" i="1"/>
  <c r="K693" i="1" a="1"/>
  <c r="J693" i="1"/>
  <c r="I693" i="1"/>
  <c r="L692" i="1"/>
  <c r="K692" i="1" a="1"/>
  <c r="K692" i="1" s="1"/>
  <c r="J692" i="1"/>
  <c r="I692" i="1"/>
  <c r="L691" i="1"/>
  <c r="K691" i="1" a="1"/>
  <c r="K691" i="1" s="1"/>
  <c r="J691" i="1"/>
  <c r="I691" i="1"/>
  <c r="L690" i="1"/>
  <c r="K690" i="1" a="1"/>
  <c r="K690" i="1" s="1"/>
  <c r="J690" i="1"/>
  <c r="I690" i="1"/>
  <c r="L689" i="1"/>
  <c r="K689" i="1" a="1"/>
  <c r="K689" i="1" s="1"/>
  <c r="J689" i="1"/>
  <c r="I689" i="1"/>
  <c r="L688" i="1"/>
  <c r="K688" i="1"/>
  <c r="K688" i="1" a="1"/>
  <c r="J688" i="1"/>
  <c r="I688" i="1"/>
  <c r="L687" i="1"/>
  <c r="K687" i="1" a="1"/>
  <c r="K687" i="1" s="1"/>
  <c r="J687" i="1"/>
  <c r="I687" i="1"/>
  <c r="L686" i="1"/>
  <c r="K686" i="1"/>
  <c r="K686" i="1" a="1"/>
  <c r="J686" i="1"/>
  <c r="I686" i="1"/>
  <c r="L685" i="1"/>
  <c r="K685" i="1" a="1"/>
  <c r="K685" i="1" s="1"/>
  <c r="J685" i="1"/>
  <c r="I685" i="1"/>
  <c r="L684" i="1"/>
  <c r="K684" i="1"/>
  <c r="K684" i="1" a="1"/>
  <c r="J684" i="1"/>
  <c r="I684" i="1"/>
  <c r="L683" i="1"/>
  <c r="K683" i="1" a="1"/>
  <c r="K683" i="1" s="1"/>
  <c r="J683" i="1"/>
  <c r="I683" i="1"/>
  <c r="L682" i="1"/>
  <c r="K682" i="1"/>
  <c r="K682" i="1" a="1"/>
  <c r="J682" i="1"/>
  <c r="I682" i="1"/>
  <c r="L681" i="1"/>
  <c r="K681" i="1"/>
  <c r="K681" i="1" a="1"/>
  <c r="J681" i="1"/>
  <c r="I681" i="1"/>
  <c r="L680" i="1"/>
  <c r="K680" i="1" a="1"/>
  <c r="K680" i="1" s="1"/>
  <c r="J680" i="1"/>
  <c r="I680" i="1"/>
  <c r="L679" i="1"/>
  <c r="K679" i="1" a="1"/>
  <c r="K679" i="1" s="1"/>
  <c r="J679" i="1"/>
  <c r="I679" i="1"/>
  <c r="L678" i="1"/>
  <c r="K678" i="1" a="1"/>
  <c r="K678" i="1" s="1"/>
  <c r="J678" i="1"/>
  <c r="I678" i="1"/>
  <c r="L677" i="1"/>
  <c r="K677" i="1" a="1"/>
  <c r="K677" i="1" s="1"/>
  <c r="J677" i="1"/>
  <c r="I677" i="1"/>
  <c r="L676" i="1"/>
  <c r="K676" i="1"/>
  <c r="K676" i="1" a="1"/>
  <c r="J676" i="1"/>
  <c r="I676" i="1"/>
  <c r="L675" i="1"/>
  <c r="K675" i="1" a="1"/>
  <c r="K675" i="1" s="1"/>
  <c r="J675" i="1"/>
  <c r="I675" i="1"/>
  <c r="L674" i="1"/>
  <c r="K674" i="1" a="1"/>
  <c r="K674" i="1" s="1"/>
  <c r="J674" i="1"/>
  <c r="I674" i="1"/>
  <c r="L673" i="1"/>
  <c r="K673" i="1"/>
  <c r="K673" i="1" a="1"/>
  <c r="J673" i="1"/>
  <c r="I673" i="1"/>
  <c r="L672" i="1"/>
  <c r="K672" i="1" a="1"/>
  <c r="K672" i="1" s="1"/>
  <c r="J672" i="1"/>
  <c r="I672" i="1"/>
  <c r="L671" i="1"/>
  <c r="K671" i="1" a="1"/>
  <c r="K671" i="1" s="1"/>
  <c r="J671" i="1"/>
  <c r="I671" i="1"/>
  <c r="L670" i="1"/>
  <c r="K670" i="1"/>
  <c r="K670" i="1" a="1"/>
  <c r="J670" i="1"/>
  <c r="I670" i="1"/>
  <c r="L669" i="1"/>
  <c r="K669" i="1"/>
  <c r="K669" i="1" a="1"/>
  <c r="J669" i="1"/>
  <c r="I669" i="1"/>
  <c r="L668" i="1"/>
  <c r="K668" i="1"/>
  <c r="K668" i="1" a="1"/>
  <c r="J668" i="1"/>
  <c r="I668" i="1"/>
  <c r="L667" i="1"/>
  <c r="K667" i="1" a="1"/>
  <c r="K667" i="1" s="1"/>
  <c r="J667" i="1"/>
  <c r="I667" i="1"/>
  <c r="L666" i="1"/>
  <c r="K666" i="1" a="1"/>
  <c r="K666" i="1" s="1"/>
  <c r="J666" i="1"/>
  <c r="I666" i="1"/>
  <c r="L665" i="1"/>
  <c r="K665" i="1" a="1"/>
  <c r="K665" i="1" s="1"/>
  <c r="J665" i="1"/>
  <c r="I665" i="1"/>
  <c r="L664" i="1"/>
  <c r="K664" i="1"/>
  <c r="K664" i="1" a="1"/>
  <c r="J664" i="1"/>
  <c r="I664" i="1"/>
  <c r="L663" i="1"/>
  <c r="K663" i="1" a="1"/>
  <c r="K663" i="1" s="1"/>
  <c r="J663" i="1"/>
  <c r="I663" i="1"/>
  <c r="L662" i="1"/>
  <c r="K662" i="1" a="1"/>
  <c r="K662" i="1" s="1"/>
  <c r="J662" i="1"/>
  <c r="I662" i="1"/>
  <c r="L661" i="1"/>
  <c r="K661" i="1" a="1"/>
  <c r="K661" i="1" s="1"/>
  <c r="J661" i="1"/>
  <c r="I661" i="1"/>
  <c r="L660" i="1"/>
  <c r="K660" i="1" a="1"/>
  <c r="K660" i="1" s="1"/>
  <c r="J660" i="1"/>
  <c r="I660" i="1"/>
  <c r="L659" i="1"/>
  <c r="K659" i="1" a="1"/>
  <c r="K659" i="1" s="1"/>
  <c r="J659" i="1"/>
  <c r="I659" i="1"/>
  <c r="L658" i="1"/>
  <c r="K658" i="1"/>
  <c r="K658" i="1" a="1"/>
  <c r="J658" i="1"/>
  <c r="I658" i="1"/>
  <c r="L657" i="1"/>
  <c r="K657" i="1"/>
  <c r="K657" i="1" a="1"/>
  <c r="J657" i="1"/>
  <c r="I657" i="1"/>
  <c r="L656" i="1"/>
  <c r="K656" i="1" a="1"/>
  <c r="K656" i="1" s="1"/>
  <c r="J656" i="1"/>
  <c r="I656" i="1"/>
  <c r="L655" i="1"/>
  <c r="K655" i="1" a="1"/>
  <c r="K655" i="1" s="1"/>
  <c r="J655" i="1"/>
  <c r="I655" i="1"/>
  <c r="L654" i="1"/>
  <c r="K654" i="1" a="1"/>
  <c r="K654" i="1" s="1"/>
  <c r="J654" i="1"/>
  <c r="I654" i="1"/>
  <c r="L653" i="1"/>
  <c r="K653" i="1" a="1"/>
  <c r="K653" i="1" s="1"/>
  <c r="J653" i="1"/>
  <c r="I653" i="1"/>
  <c r="L652" i="1"/>
  <c r="K652" i="1"/>
  <c r="K652" i="1" a="1"/>
  <c r="J652" i="1"/>
  <c r="I652" i="1"/>
  <c r="L651" i="1"/>
  <c r="K651" i="1" a="1"/>
  <c r="K651" i="1" s="1"/>
  <c r="J651" i="1"/>
  <c r="I651" i="1"/>
  <c r="L650" i="1"/>
  <c r="K650" i="1" a="1"/>
  <c r="K650" i="1" s="1"/>
  <c r="J650" i="1"/>
  <c r="I650" i="1"/>
  <c r="L649" i="1"/>
  <c r="K649" i="1" a="1"/>
  <c r="K649" i="1" s="1"/>
  <c r="J649" i="1"/>
  <c r="I649" i="1"/>
  <c r="L648" i="1"/>
  <c r="K648" i="1" a="1"/>
  <c r="K648" i="1" s="1"/>
  <c r="J648" i="1"/>
  <c r="I648" i="1"/>
  <c r="L647" i="1"/>
  <c r="K647" i="1" a="1"/>
  <c r="K647" i="1" s="1"/>
  <c r="J647" i="1"/>
  <c r="I647" i="1"/>
  <c r="L646" i="1"/>
  <c r="K646" i="1"/>
  <c r="K646" i="1" a="1"/>
  <c r="J646" i="1"/>
  <c r="I646" i="1"/>
  <c r="L645" i="1"/>
  <c r="K645" i="1"/>
  <c r="K645" i="1" a="1"/>
  <c r="J645" i="1"/>
  <c r="I645" i="1"/>
  <c r="L644" i="1"/>
  <c r="K644" i="1"/>
  <c r="K644" i="1" a="1"/>
  <c r="J644" i="1"/>
  <c r="I644" i="1"/>
  <c r="L643" i="1"/>
  <c r="K643" i="1" a="1"/>
  <c r="K643" i="1" s="1"/>
  <c r="J643" i="1"/>
  <c r="I643" i="1"/>
  <c r="L642" i="1"/>
  <c r="K642" i="1" a="1"/>
  <c r="K642" i="1" s="1"/>
  <c r="J642" i="1"/>
  <c r="I642" i="1"/>
  <c r="L641" i="1"/>
  <c r="K641" i="1" a="1"/>
  <c r="K641" i="1" s="1"/>
  <c r="J641" i="1"/>
  <c r="I641" i="1"/>
  <c r="L640" i="1"/>
  <c r="K640" i="1"/>
  <c r="K640" i="1" a="1"/>
  <c r="J640" i="1"/>
  <c r="I640" i="1"/>
  <c r="L639" i="1"/>
  <c r="K639" i="1" a="1"/>
  <c r="K639" i="1" s="1"/>
  <c r="J639" i="1"/>
  <c r="I639" i="1"/>
  <c r="L638" i="1"/>
  <c r="K638" i="1"/>
  <c r="K638" i="1" a="1"/>
  <c r="J638" i="1"/>
  <c r="I638" i="1"/>
  <c r="L637" i="1"/>
  <c r="K637" i="1" a="1"/>
  <c r="K637" i="1" s="1"/>
  <c r="J637" i="1"/>
  <c r="I637" i="1"/>
  <c r="L636" i="1"/>
  <c r="K636" i="1" a="1"/>
  <c r="K636" i="1" s="1"/>
  <c r="J636" i="1"/>
  <c r="I636" i="1"/>
  <c r="L635" i="1"/>
  <c r="K635" i="1" a="1"/>
  <c r="K635" i="1" s="1"/>
  <c r="J635" i="1"/>
  <c r="I635" i="1"/>
  <c r="L634" i="1"/>
  <c r="K634" i="1"/>
  <c r="K634" i="1" a="1"/>
  <c r="J634" i="1"/>
  <c r="I634" i="1"/>
  <c r="L633" i="1"/>
  <c r="K633" i="1"/>
  <c r="K633" i="1" a="1"/>
  <c r="J633" i="1"/>
  <c r="I633" i="1"/>
  <c r="L632" i="1"/>
  <c r="K632" i="1" a="1"/>
  <c r="K632" i="1" s="1"/>
  <c r="J632" i="1"/>
  <c r="I632" i="1"/>
  <c r="L631" i="1"/>
  <c r="K631" i="1" a="1"/>
  <c r="K631" i="1" s="1"/>
  <c r="J631" i="1"/>
  <c r="I631" i="1"/>
  <c r="L630" i="1"/>
  <c r="K630" i="1" a="1"/>
  <c r="K630" i="1" s="1"/>
  <c r="J630" i="1"/>
  <c r="I630" i="1"/>
  <c r="L629" i="1"/>
  <c r="K629" i="1" a="1"/>
  <c r="K629" i="1" s="1"/>
  <c r="J629" i="1"/>
  <c r="I629" i="1"/>
  <c r="L628" i="1"/>
  <c r="K628" i="1"/>
  <c r="K628" i="1" a="1"/>
  <c r="J628" i="1"/>
  <c r="I628" i="1"/>
  <c r="L627" i="1"/>
  <c r="K627" i="1" a="1"/>
  <c r="K627" i="1" s="1"/>
  <c r="J627" i="1"/>
  <c r="I627" i="1"/>
  <c r="L626" i="1"/>
  <c r="K626" i="1" a="1"/>
  <c r="K626" i="1" s="1"/>
  <c r="J626" i="1"/>
  <c r="I626" i="1"/>
  <c r="L625" i="1"/>
  <c r="K625" i="1"/>
  <c r="K625" i="1" a="1"/>
  <c r="J625" i="1"/>
  <c r="I625" i="1"/>
  <c r="L624" i="1"/>
  <c r="K624" i="1" a="1"/>
  <c r="K624" i="1" s="1"/>
  <c r="J624" i="1"/>
  <c r="I624" i="1"/>
  <c r="L623" i="1"/>
  <c r="K623" i="1" a="1"/>
  <c r="K623" i="1" s="1"/>
  <c r="J623" i="1"/>
  <c r="I623" i="1"/>
  <c r="L622" i="1"/>
  <c r="K622" i="1"/>
  <c r="K622" i="1" a="1"/>
  <c r="J622" i="1"/>
  <c r="I622" i="1"/>
  <c r="L621" i="1"/>
  <c r="K621" i="1"/>
  <c r="K621" i="1" a="1"/>
  <c r="J621" i="1"/>
  <c r="I621" i="1"/>
  <c r="L620" i="1"/>
  <c r="K620" i="1"/>
  <c r="K620" i="1" a="1"/>
  <c r="J620" i="1"/>
  <c r="I620" i="1"/>
  <c r="L619" i="1"/>
  <c r="K619" i="1" a="1"/>
  <c r="K619" i="1" s="1"/>
  <c r="J619" i="1"/>
  <c r="I619" i="1"/>
  <c r="L618" i="1"/>
  <c r="K618" i="1" a="1"/>
  <c r="K618" i="1" s="1"/>
  <c r="J618" i="1"/>
  <c r="I618" i="1"/>
  <c r="L617" i="1"/>
  <c r="K617" i="1" a="1"/>
  <c r="K617" i="1" s="1"/>
  <c r="J617" i="1"/>
  <c r="I617" i="1"/>
  <c r="L616" i="1"/>
  <c r="K616" i="1"/>
  <c r="K616" i="1" a="1"/>
  <c r="J616" i="1"/>
  <c r="I616" i="1"/>
  <c r="L615" i="1"/>
  <c r="K615" i="1" a="1"/>
  <c r="K615" i="1" s="1"/>
  <c r="J615" i="1"/>
  <c r="I615" i="1"/>
  <c r="L614" i="1"/>
  <c r="K614" i="1" a="1"/>
  <c r="K614" i="1" s="1"/>
  <c r="J614" i="1"/>
  <c r="I614" i="1"/>
  <c r="L613" i="1"/>
  <c r="K613" i="1" a="1"/>
  <c r="K613" i="1" s="1"/>
  <c r="J613" i="1"/>
  <c r="I613" i="1"/>
  <c r="L612" i="1"/>
  <c r="K612" i="1" a="1"/>
  <c r="K612" i="1" s="1"/>
  <c r="J612" i="1"/>
  <c r="I612" i="1"/>
  <c r="L611" i="1"/>
  <c r="K611" i="1" a="1"/>
  <c r="K611" i="1" s="1"/>
  <c r="J611" i="1"/>
  <c r="I611" i="1"/>
  <c r="L610" i="1"/>
  <c r="K610" i="1"/>
  <c r="K610" i="1" a="1"/>
  <c r="J610" i="1"/>
  <c r="I610" i="1"/>
  <c r="L609" i="1"/>
  <c r="K609" i="1"/>
  <c r="K609" i="1" a="1"/>
  <c r="J609" i="1"/>
  <c r="I609" i="1"/>
  <c r="L608" i="1"/>
  <c r="K608" i="1" a="1"/>
  <c r="K608" i="1" s="1"/>
  <c r="J608" i="1"/>
  <c r="I608" i="1"/>
  <c r="L607" i="1"/>
  <c r="K607" i="1" a="1"/>
  <c r="K607" i="1" s="1"/>
  <c r="J607" i="1"/>
  <c r="I607" i="1"/>
  <c r="L606" i="1"/>
  <c r="K606" i="1" a="1"/>
  <c r="K606" i="1" s="1"/>
  <c r="J606" i="1"/>
  <c r="I606" i="1"/>
  <c r="L605" i="1"/>
  <c r="K605" i="1" a="1"/>
  <c r="K605" i="1" s="1"/>
  <c r="J605" i="1"/>
  <c r="I605" i="1"/>
  <c r="L604" i="1"/>
  <c r="K604" i="1"/>
  <c r="K604" i="1" a="1"/>
  <c r="J604" i="1"/>
  <c r="I604" i="1"/>
  <c r="L603" i="1"/>
  <c r="K603" i="1" a="1"/>
  <c r="K603" i="1" s="1"/>
  <c r="J603" i="1"/>
  <c r="I603" i="1"/>
  <c r="L602" i="1"/>
  <c r="K602" i="1" a="1"/>
  <c r="K602" i="1" s="1"/>
  <c r="J602" i="1"/>
  <c r="I602" i="1"/>
  <c r="L601" i="1"/>
  <c r="K601" i="1"/>
  <c r="K601" i="1" a="1"/>
  <c r="J601" i="1"/>
  <c r="I601" i="1"/>
  <c r="L600" i="1"/>
  <c r="K600" i="1" a="1"/>
  <c r="K600" i="1" s="1"/>
  <c r="J600" i="1"/>
  <c r="I600" i="1"/>
  <c r="L599" i="1"/>
  <c r="K599" i="1" a="1"/>
  <c r="K599" i="1" s="1"/>
  <c r="J599" i="1"/>
  <c r="I599" i="1"/>
  <c r="L598" i="1"/>
  <c r="K598" i="1"/>
  <c r="K598" i="1" a="1"/>
  <c r="J598" i="1"/>
  <c r="I598" i="1"/>
  <c r="L597" i="1"/>
  <c r="K597" i="1"/>
  <c r="K597" i="1" a="1"/>
  <c r="J597" i="1"/>
  <c r="I597" i="1"/>
  <c r="L596" i="1"/>
  <c r="K596" i="1" a="1"/>
  <c r="K596" i="1" s="1"/>
  <c r="J596" i="1"/>
  <c r="I596" i="1"/>
  <c r="L595" i="1"/>
  <c r="K595" i="1" a="1"/>
  <c r="K595" i="1" s="1"/>
  <c r="J595" i="1"/>
  <c r="I595" i="1"/>
  <c r="L594" i="1"/>
  <c r="K594" i="1" a="1"/>
  <c r="K594" i="1" s="1"/>
  <c r="J594" i="1"/>
  <c r="I594" i="1"/>
  <c r="L593" i="1"/>
  <c r="K593" i="1" a="1"/>
  <c r="K593" i="1" s="1"/>
  <c r="J593" i="1"/>
  <c r="I593" i="1"/>
  <c r="L592" i="1"/>
  <c r="K592" i="1"/>
  <c r="K592" i="1" a="1"/>
  <c r="J592" i="1"/>
  <c r="I592" i="1"/>
  <c r="L591" i="1"/>
  <c r="K591" i="1" a="1"/>
  <c r="K591" i="1" s="1"/>
  <c r="J591" i="1"/>
  <c r="I591" i="1"/>
  <c r="L590" i="1"/>
  <c r="K590" i="1"/>
  <c r="K590" i="1" a="1"/>
  <c r="J590" i="1"/>
  <c r="I590" i="1"/>
  <c r="L589" i="1"/>
  <c r="K589" i="1" a="1"/>
  <c r="K589" i="1" s="1"/>
  <c r="J589" i="1"/>
  <c r="I589" i="1"/>
  <c r="L588" i="1"/>
  <c r="K588" i="1" a="1"/>
  <c r="K588" i="1" s="1"/>
  <c r="J588" i="1"/>
  <c r="I588" i="1"/>
  <c r="L587" i="1"/>
  <c r="K587" i="1" a="1"/>
  <c r="K587" i="1" s="1"/>
  <c r="J587" i="1"/>
  <c r="I587" i="1"/>
  <c r="L586" i="1"/>
  <c r="K586" i="1"/>
  <c r="K586" i="1" a="1"/>
  <c r="J586" i="1"/>
  <c r="I586" i="1"/>
  <c r="L585" i="1"/>
  <c r="K585" i="1"/>
  <c r="K585" i="1" a="1"/>
  <c r="J585" i="1"/>
  <c r="I585" i="1"/>
  <c r="L584" i="1"/>
  <c r="K584" i="1" a="1"/>
  <c r="K584" i="1" s="1"/>
  <c r="J584" i="1"/>
  <c r="I584" i="1"/>
  <c r="L583" i="1"/>
  <c r="K583" i="1" a="1"/>
  <c r="K583" i="1" s="1"/>
  <c r="J583" i="1"/>
  <c r="I583" i="1"/>
  <c r="L582" i="1"/>
  <c r="K582" i="1" a="1"/>
  <c r="K582" i="1" s="1"/>
  <c r="J582" i="1"/>
  <c r="I582" i="1"/>
  <c r="L581" i="1"/>
  <c r="K581" i="1" a="1"/>
  <c r="K581" i="1" s="1"/>
  <c r="J581" i="1"/>
  <c r="I581" i="1"/>
  <c r="L580" i="1"/>
  <c r="K580" i="1"/>
  <c r="K580" i="1" a="1"/>
  <c r="J580" i="1"/>
  <c r="I580" i="1"/>
  <c r="L579" i="1"/>
  <c r="K579" i="1" a="1"/>
  <c r="K579" i="1" s="1"/>
  <c r="J579" i="1"/>
  <c r="I579" i="1"/>
  <c r="L578" i="1"/>
  <c r="K578" i="1" a="1"/>
  <c r="K578" i="1" s="1"/>
  <c r="J578" i="1"/>
  <c r="I578" i="1"/>
  <c r="L577" i="1"/>
  <c r="K577" i="1"/>
  <c r="K577" i="1" a="1"/>
  <c r="J577" i="1"/>
  <c r="I577" i="1"/>
  <c r="L576" i="1"/>
  <c r="K576" i="1" a="1"/>
  <c r="K576" i="1" s="1"/>
  <c r="J576" i="1"/>
  <c r="I576" i="1"/>
  <c r="L575" i="1"/>
  <c r="K575" i="1" a="1"/>
  <c r="K575" i="1" s="1"/>
  <c r="J575" i="1"/>
  <c r="I575" i="1"/>
  <c r="L574" i="1"/>
  <c r="K574" i="1"/>
  <c r="K574" i="1" a="1"/>
  <c r="J574" i="1"/>
  <c r="I574" i="1"/>
  <c r="L573" i="1"/>
  <c r="K573" i="1"/>
  <c r="K573" i="1" a="1"/>
  <c r="J573" i="1"/>
  <c r="I573" i="1"/>
  <c r="L572" i="1"/>
  <c r="K572" i="1"/>
  <c r="K572" i="1" a="1"/>
  <c r="J572" i="1"/>
  <c r="I572" i="1"/>
  <c r="L571" i="1"/>
  <c r="K571" i="1" a="1"/>
  <c r="K571" i="1" s="1"/>
  <c r="J571" i="1"/>
  <c r="I571" i="1"/>
  <c r="L570" i="1"/>
  <c r="K570" i="1" a="1"/>
  <c r="K570" i="1" s="1"/>
  <c r="J570" i="1"/>
  <c r="I570" i="1"/>
  <c r="L569" i="1"/>
  <c r="K569" i="1" a="1"/>
  <c r="K569" i="1" s="1"/>
  <c r="J569" i="1"/>
  <c r="I569" i="1"/>
  <c r="L568" i="1"/>
  <c r="K568" i="1"/>
  <c r="K568" i="1" a="1"/>
  <c r="J568" i="1"/>
  <c r="I568" i="1"/>
  <c r="L567" i="1"/>
  <c r="K567" i="1" a="1"/>
  <c r="K567" i="1" s="1"/>
  <c r="J567" i="1"/>
  <c r="I567" i="1"/>
  <c r="L566" i="1"/>
  <c r="K566" i="1" a="1"/>
  <c r="K566" i="1" s="1"/>
  <c r="J566" i="1"/>
  <c r="I566" i="1"/>
  <c r="L565" i="1"/>
  <c r="K565" i="1" a="1"/>
  <c r="K565" i="1" s="1"/>
  <c r="J565" i="1"/>
  <c r="I565" i="1"/>
  <c r="L564" i="1"/>
  <c r="K564" i="1" a="1"/>
  <c r="K564" i="1" s="1"/>
  <c r="J564" i="1"/>
  <c r="I564" i="1"/>
  <c r="L563" i="1"/>
  <c r="K563" i="1" a="1"/>
  <c r="K563" i="1" s="1"/>
  <c r="J563" i="1"/>
  <c r="I563" i="1"/>
  <c r="L562" i="1"/>
  <c r="K562" i="1"/>
  <c r="K562" i="1" a="1"/>
  <c r="J562" i="1"/>
  <c r="I562" i="1"/>
  <c r="L561" i="1"/>
  <c r="K561" i="1"/>
  <c r="K561" i="1" a="1"/>
  <c r="J561" i="1"/>
  <c r="I561" i="1"/>
  <c r="L560" i="1"/>
  <c r="K560" i="1" a="1"/>
  <c r="K560" i="1" s="1"/>
  <c r="J560" i="1"/>
  <c r="I560" i="1"/>
  <c r="L559" i="1"/>
  <c r="K559" i="1" a="1"/>
  <c r="K559" i="1" s="1"/>
  <c r="J559" i="1"/>
  <c r="I559" i="1"/>
  <c r="L558" i="1"/>
  <c r="K558" i="1" a="1"/>
  <c r="K558" i="1" s="1"/>
  <c r="J558" i="1"/>
  <c r="I558" i="1"/>
  <c r="L557" i="1"/>
  <c r="K557" i="1" a="1"/>
  <c r="K557" i="1" s="1"/>
  <c r="J557" i="1"/>
  <c r="I557" i="1"/>
  <c r="L556" i="1"/>
  <c r="K556" i="1"/>
  <c r="K556" i="1" a="1"/>
  <c r="J556" i="1"/>
  <c r="I556" i="1"/>
  <c r="L555" i="1"/>
  <c r="K555" i="1" a="1"/>
  <c r="K555" i="1" s="1"/>
  <c r="J555" i="1"/>
  <c r="I555" i="1"/>
  <c r="L554" i="1"/>
  <c r="K554" i="1" a="1"/>
  <c r="K554" i="1" s="1"/>
  <c r="J554" i="1"/>
  <c r="I554" i="1"/>
  <c r="L553" i="1"/>
  <c r="K553" i="1" a="1"/>
  <c r="K553" i="1" s="1"/>
  <c r="J553" i="1"/>
  <c r="I553" i="1"/>
  <c r="L552" i="1"/>
  <c r="K552" i="1" a="1"/>
  <c r="K552" i="1" s="1"/>
  <c r="J552" i="1"/>
  <c r="I552" i="1"/>
  <c r="L551" i="1"/>
  <c r="K551" i="1" a="1"/>
  <c r="K551" i="1" s="1"/>
  <c r="J551" i="1"/>
  <c r="I551" i="1"/>
  <c r="L550" i="1"/>
  <c r="K550" i="1"/>
  <c r="K550" i="1" a="1"/>
  <c r="J550" i="1"/>
  <c r="I550" i="1"/>
  <c r="L549" i="1"/>
  <c r="K549" i="1"/>
  <c r="K549" i="1" a="1"/>
  <c r="J549" i="1"/>
  <c r="I549" i="1"/>
  <c r="L548" i="1"/>
  <c r="K548" i="1" a="1"/>
  <c r="K548" i="1" s="1"/>
  <c r="J548" i="1"/>
  <c r="I548" i="1"/>
  <c r="L547" i="1"/>
  <c r="K547" i="1" a="1"/>
  <c r="K547" i="1" s="1"/>
  <c r="J547" i="1"/>
  <c r="I547" i="1"/>
  <c r="L546" i="1"/>
  <c r="K546" i="1" a="1"/>
  <c r="K546" i="1" s="1"/>
  <c r="J546" i="1"/>
  <c r="I546" i="1"/>
  <c r="L545" i="1"/>
  <c r="K545" i="1" a="1"/>
  <c r="K545" i="1" s="1"/>
  <c r="J545" i="1"/>
  <c r="I545" i="1"/>
  <c r="L544" i="1"/>
  <c r="K544" i="1"/>
  <c r="K544" i="1" a="1"/>
  <c r="J544" i="1"/>
  <c r="I544" i="1"/>
  <c r="L543" i="1"/>
  <c r="K543" i="1" a="1"/>
  <c r="K543" i="1" s="1"/>
  <c r="J543" i="1"/>
  <c r="I543" i="1"/>
  <c r="L542" i="1"/>
  <c r="K542" i="1"/>
  <c r="K542" i="1" a="1"/>
  <c r="J542" i="1"/>
  <c r="I542" i="1"/>
  <c r="L541" i="1"/>
  <c r="K541" i="1" a="1"/>
  <c r="K541" i="1" s="1"/>
  <c r="J541" i="1"/>
  <c r="I541" i="1"/>
  <c r="L540" i="1"/>
  <c r="K540" i="1" a="1"/>
  <c r="K540" i="1" s="1"/>
  <c r="J540" i="1"/>
  <c r="I540" i="1"/>
  <c r="L539" i="1"/>
  <c r="K539" i="1" a="1"/>
  <c r="K539" i="1" s="1"/>
  <c r="J539" i="1"/>
  <c r="I539" i="1"/>
  <c r="L538" i="1"/>
  <c r="K538" i="1"/>
  <c r="K538" i="1" a="1"/>
  <c r="J538" i="1"/>
  <c r="I538" i="1"/>
  <c r="L537" i="1"/>
  <c r="K537" i="1"/>
  <c r="K537" i="1" a="1"/>
  <c r="J537" i="1"/>
  <c r="I537" i="1"/>
  <c r="L536" i="1"/>
  <c r="K536" i="1" a="1"/>
  <c r="K536" i="1" s="1"/>
  <c r="J536" i="1"/>
  <c r="I536" i="1"/>
  <c r="L535" i="1"/>
  <c r="K535" i="1" a="1"/>
  <c r="K535" i="1" s="1"/>
  <c r="J535" i="1"/>
  <c r="I535" i="1"/>
  <c r="L534" i="1"/>
  <c r="K534" i="1" a="1"/>
  <c r="K534" i="1" s="1"/>
  <c r="J534" i="1"/>
  <c r="I534" i="1"/>
  <c r="L533" i="1"/>
  <c r="K533" i="1" a="1"/>
  <c r="K533" i="1" s="1"/>
  <c r="J533" i="1"/>
  <c r="I533" i="1"/>
  <c r="L532" i="1"/>
  <c r="K532" i="1"/>
  <c r="K532" i="1" a="1"/>
  <c r="J532" i="1"/>
  <c r="I532" i="1"/>
  <c r="L531" i="1"/>
  <c r="K531" i="1" a="1"/>
  <c r="K531" i="1" s="1"/>
  <c r="J531" i="1"/>
  <c r="I531" i="1"/>
  <c r="L530" i="1"/>
  <c r="K530" i="1" a="1"/>
  <c r="K530" i="1" s="1"/>
  <c r="J530" i="1"/>
  <c r="I530" i="1"/>
  <c r="L529" i="1"/>
  <c r="K529" i="1"/>
  <c r="K529" i="1" a="1"/>
  <c r="J529" i="1"/>
  <c r="I529" i="1"/>
  <c r="L528" i="1"/>
  <c r="K528" i="1" a="1"/>
  <c r="K528" i="1" s="1"/>
  <c r="J528" i="1"/>
  <c r="I528" i="1"/>
  <c r="L527" i="1"/>
  <c r="K527" i="1" a="1"/>
  <c r="K527" i="1" s="1"/>
  <c r="J527" i="1"/>
  <c r="I527" i="1"/>
  <c r="L526" i="1"/>
  <c r="K526" i="1"/>
  <c r="K526" i="1" a="1"/>
  <c r="J526" i="1"/>
  <c r="I526" i="1"/>
  <c r="L525" i="1"/>
  <c r="K525" i="1"/>
  <c r="K525" i="1" a="1"/>
  <c r="J525" i="1"/>
  <c r="I525" i="1"/>
  <c r="L524" i="1"/>
  <c r="K524" i="1"/>
  <c r="K524" i="1" a="1"/>
  <c r="J524" i="1"/>
  <c r="I524" i="1"/>
  <c r="L523" i="1"/>
  <c r="K523" i="1" a="1"/>
  <c r="K523" i="1" s="1"/>
  <c r="J523" i="1"/>
  <c r="I523" i="1"/>
  <c r="L522" i="1"/>
  <c r="K522" i="1" a="1"/>
  <c r="K522" i="1" s="1"/>
  <c r="J522" i="1"/>
  <c r="I522" i="1"/>
  <c r="L521" i="1"/>
  <c r="K521" i="1" a="1"/>
  <c r="K521" i="1" s="1"/>
  <c r="J521" i="1"/>
  <c r="I521" i="1"/>
  <c r="L520" i="1"/>
  <c r="K520" i="1"/>
  <c r="K520" i="1" a="1"/>
  <c r="J520" i="1"/>
  <c r="I520" i="1"/>
  <c r="L519" i="1"/>
  <c r="K519" i="1" a="1"/>
  <c r="K519" i="1" s="1"/>
  <c r="J519" i="1"/>
  <c r="I519" i="1"/>
  <c r="L518" i="1"/>
  <c r="K518" i="1" a="1"/>
  <c r="K518" i="1" s="1"/>
  <c r="J518" i="1"/>
  <c r="I518" i="1"/>
  <c r="L517" i="1"/>
  <c r="K517" i="1" a="1"/>
  <c r="K517" i="1" s="1"/>
  <c r="J517" i="1"/>
  <c r="I517" i="1"/>
  <c r="L516" i="1"/>
  <c r="K516" i="1" a="1"/>
  <c r="K516" i="1" s="1"/>
  <c r="J516" i="1"/>
  <c r="I516" i="1"/>
  <c r="L515" i="1"/>
  <c r="K515" i="1" a="1"/>
  <c r="K515" i="1" s="1"/>
  <c r="J515" i="1"/>
  <c r="I515" i="1"/>
  <c r="L514" i="1"/>
  <c r="K514" i="1"/>
  <c r="K514" i="1" a="1"/>
  <c r="J514" i="1"/>
  <c r="I514" i="1"/>
  <c r="L513" i="1"/>
  <c r="K513" i="1"/>
  <c r="K513" i="1" a="1"/>
  <c r="J513" i="1"/>
  <c r="I513" i="1"/>
  <c r="L512" i="1"/>
  <c r="K512" i="1" a="1"/>
  <c r="K512" i="1" s="1"/>
  <c r="J512" i="1"/>
  <c r="I512" i="1"/>
  <c r="L511" i="1"/>
  <c r="K511" i="1" a="1"/>
  <c r="K511" i="1" s="1"/>
  <c r="J511" i="1"/>
  <c r="I511" i="1"/>
  <c r="L510" i="1"/>
  <c r="K510" i="1" a="1"/>
  <c r="K510" i="1" s="1"/>
  <c r="J510" i="1"/>
  <c r="I510" i="1"/>
  <c r="L509" i="1"/>
  <c r="K509" i="1" a="1"/>
  <c r="K509" i="1" s="1"/>
  <c r="J509" i="1"/>
  <c r="I509" i="1"/>
  <c r="L508" i="1"/>
  <c r="K508" i="1"/>
  <c r="K508" i="1" a="1"/>
  <c r="J508" i="1"/>
  <c r="I508" i="1"/>
  <c r="L507" i="1"/>
  <c r="K507" i="1" a="1"/>
  <c r="K507" i="1" s="1"/>
  <c r="J507" i="1"/>
  <c r="I507" i="1"/>
  <c r="L506" i="1"/>
  <c r="K506" i="1" a="1"/>
  <c r="K506" i="1" s="1"/>
  <c r="J506" i="1"/>
  <c r="I506" i="1"/>
  <c r="L505" i="1"/>
  <c r="K505" i="1" a="1"/>
  <c r="K505" i="1" s="1"/>
  <c r="J505" i="1"/>
  <c r="I505" i="1"/>
  <c r="L504" i="1"/>
  <c r="K504" i="1" a="1"/>
  <c r="K504" i="1" s="1"/>
  <c r="J504" i="1"/>
  <c r="I504" i="1"/>
  <c r="L503" i="1"/>
  <c r="K503" i="1" a="1"/>
  <c r="K503" i="1" s="1"/>
  <c r="J503" i="1"/>
  <c r="I503" i="1"/>
  <c r="L502" i="1"/>
  <c r="K502" i="1"/>
  <c r="K502" i="1" a="1"/>
  <c r="J502" i="1"/>
  <c r="I502" i="1"/>
  <c r="L501" i="1"/>
  <c r="K501" i="1"/>
  <c r="K501" i="1" a="1"/>
  <c r="J501" i="1"/>
  <c r="I501" i="1"/>
  <c r="L500" i="1"/>
  <c r="K500" i="1" a="1"/>
  <c r="K500" i="1" s="1"/>
  <c r="J500" i="1"/>
  <c r="I500" i="1"/>
  <c r="L499" i="1"/>
  <c r="K499" i="1" a="1"/>
  <c r="K499" i="1" s="1"/>
  <c r="J499" i="1"/>
  <c r="I499" i="1"/>
  <c r="L498" i="1"/>
  <c r="K498" i="1" a="1"/>
  <c r="K498" i="1" s="1"/>
  <c r="J498" i="1"/>
  <c r="I498" i="1"/>
  <c r="L497" i="1"/>
  <c r="K497" i="1" a="1"/>
  <c r="K497" i="1" s="1"/>
  <c r="J497" i="1"/>
  <c r="I497" i="1"/>
  <c r="L496" i="1"/>
  <c r="K496" i="1"/>
  <c r="K496" i="1" a="1"/>
  <c r="J496" i="1"/>
  <c r="I496" i="1"/>
  <c r="L495" i="1"/>
  <c r="K495" i="1" a="1"/>
  <c r="K495" i="1" s="1"/>
  <c r="J495" i="1"/>
  <c r="I495" i="1"/>
  <c r="L494" i="1"/>
  <c r="K494" i="1"/>
  <c r="K494" i="1" a="1"/>
  <c r="J494" i="1"/>
  <c r="I494" i="1"/>
  <c r="L493" i="1"/>
  <c r="K493" i="1" a="1"/>
  <c r="K493" i="1" s="1"/>
  <c r="J493" i="1"/>
  <c r="I493" i="1"/>
  <c r="L492" i="1"/>
  <c r="K492" i="1" a="1"/>
  <c r="K492" i="1" s="1"/>
  <c r="J492" i="1"/>
  <c r="I492" i="1"/>
  <c r="L491" i="1"/>
  <c r="K491" i="1" a="1"/>
  <c r="K491" i="1" s="1"/>
  <c r="J491" i="1"/>
  <c r="I491" i="1"/>
  <c r="L490" i="1"/>
  <c r="K490" i="1"/>
  <c r="K490" i="1" a="1"/>
  <c r="J490" i="1"/>
  <c r="I490" i="1"/>
  <c r="L489" i="1"/>
  <c r="K489" i="1"/>
  <c r="K489" i="1" a="1"/>
  <c r="J489" i="1"/>
  <c r="I489" i="1"/>
  <c r="L488" i="1"/>
  <c r="K488" i="1" a="1"/>
  <c r="K488" i="1" s="1"/>
  <c r="J488" i="1"/>
  <c r="I488" i="1"/>
  <c r="L487" i="1"/>
  <c r="K487" i="1" a="1"/>
  <c r="K487" i="1" s="1"/>
  <c r="J487" i="1"/>
  <c r="I487" i="1"/>
  <c r="L486" i="1"/>
  <c r="K486" i="1" a="1"/>
  <c r="K486" i="1" s="1"/>
  <c r="J486" i="1"/>
  <c r="I486" i="1"/>
  <c r="L485" i="1"/>
  <c r="K485" i="1" a="1"/>
  <c r="K485" i="1" s="1"/>
  <c r="J485" i="1"/>
  <c r="I485" i="1"/>
  <c r="L484" i="1"/>
  <c r="K484" i="1"/>
  <c r="K484" i="1" a="1"/>
  <c r="J484" i="1"/>
  <c r="I484" i="1"/>
  <c r="L483" i="1"/>
  <c r="K483" i="1" a="1"/>
  <c r="K483" i="1" s="1"/>
  <c r="J483" i="1"/>
  <c r="I483" i="1"/>
  <c r="L482" i="1"/>
  <c r="K482" i="1" a="1"/>
  <c r="K482" i="1" s="1"/>
  <c r="J482" i="1"/>
  <c r="I482" i="1"/>
  <c r="L481" i="1"/>
  <c r="K481" i="1"/>
  <c r="K481" i="1" a="1"/>
  <c r="J481" i="1"/>
  <c r="I481" i="1"/>
  <c r="L480" i="1"/>
  <c r="K480" i="1" a="1"/>
  <c r="K480" i="1" s="1"/>
  <c r="J480" i="1"/>
  <c r="I480" i="1"/>
  <c r="L479" i="1"/>
  <c r="K479" i="1" a="1"/>
  <c r="K479" i="1" s="1"/>
  <c r="J479" i="1"/>
  <c r="I479" i="1"/>
  <c r="L478" i="1"/>
  <c r="K478" i="1"/>
  <c r="K478" i="1" a="1"/>
  <c r="J478" i="1"/>
  <c r="I478" i="1"/>
  <c r="L477" i="1"/>
  <c r="K477" i="1"/>
  <c r="K477" i="1" a="1"/>
  <c r="J477" i="1"/>
  <c r="I477" i="1"/>
  <c r="L476" i="1"/>
  <c r="K476" i="1"/>
  <c r="K476" i="1" a="1"/>
  <c r="J476" i="1"/>
  <c r="I476" i="1"/>
  <c r="L475" i="1"/>
  <c r="K475" i="1" a="1"/>
  <c r="K475" i="1" s="1"/>
  <c r="J475" i="1"/>
  <c r="I475" i="1"/>
  <c r="L474" i="1"/>
  <c r="K474" i="1" a="1"/>
  <c r="K474" i="1" s="1"/>
  <c r="J474" i="1"/>
  <c r="I474" i="1"/>
  <c r="L473" i="1"/>
  <c r="K473" i="1" a="1"/>
  <c r="K473" i="1" s="1"/>
  <c r="J473" i="1"/>
  <c r="I473" i="1"/>
  <c r="L472" i="1"/>
  <c r="K472" i="1"/>
  <c r="K472" i="1" a="1"/>
  <c r="J472" i="1"/>
  <c r="I472" i="1"/>
  <c r="L471" i="1"/>
  <c r="K471" i="1" a="1"/>
  <c r="K471" i="1" s="1"/>
  <c r="J471" i="1"/>
  <c r="I471" i="1"/>
  <c r="L470" i="1"/>
  <c r="K470" i="1" a="1"/>
  <c r="K470" i="1" s="1"/>
  <c r="J470" i="1"/>
  <c r="I470" i="1"/>
  <c r="L469" i="1"/>
  <c r="K469" i="1" a="1"/>
  <c r="K469" i="1" s="1"/>
  <c r="J469" i="1"/>
  <c r="I469" i="1"/>
  <c r="L468" i="1"/>
  <c r="K468" i="1" a="1"/>
  <c r="K468" i="1" s="1"/>
  <c r="J468" i="1"/>
  <c r="I468" i="1"/>
  <c r="L467" i="1"/>
  <c r="K467" i="1" a="1"/>
  <c r="K467" i="1" s="1"/>
  <c r="J467" i="1"/>
  <c r="I467" i="1"/>
  <c r="L466" i="1"/>
  <c r="K466" i="1"/>
  <c r="K466" i="1" a="1"/>
  <c r="J466" i="1"/>
  <c r="I466" i="1"/>
  <c r="L465" i="1"/>
  <c r="K465" i="1"/>
  <c r="K465" i="1" a="1"/>
  <c r="J465" i="1"/>
  <c r="I465" i="1"/>
  <c r="L464" i="1"/>
  <c r="K464" i="1" a="1"/>
  <c r="K464" i="1" s="1"/>
  <c r="J464" i="1"/>
  <c r="I464" i="1"/>
  <c r="L463" i="1"/>
  <c r="K463" i="1" a="1"/>
  <c r="K463" i="1" s="1"/>
  <c r="J463" i="1"/>
  <c r="I463" i="1"/>
  <c r="L462" i="1"/>
  <c r="K462" i="1" a="1"/>
  <c r="K462" i="1" s="1"/>
  <c r="J462" i="1"/>
  <c r="I462" i="1"/>
  <c r="L461" i="1"/>
  <c r="K461" i="1" a="1"/>
  <c r="K461" i="1" s="1"/>
  <c r="J461" i="1"/>
  <c r="I461" i="1"/>
  <c r="L460" i="1"/>
  <c r="K460" i="1"/>
  <c r="K460" i="1" a="1"/>
  <c r="J460" i="1"/>
  <c r="I460" i="1"/>
  <c r="L459" i="1"/>
  <c r="K459" i="1"/>
  <c r="K459" i="1" a="1"/>
  <c r="J459" i="1"/>
  <c r="I459" i="1"/>
  <c r="L458" i="1"/>
  <c r="K458" i="1" a="1"/>
  <c r="K458" i="1" s="1"/>
  <c r="J458" i="1"/>
  <c r="I458" i="1"/>
  <c r="L457" i="1"/>
  <c r="K457" i="1" a="1"/>
  <c r="K457" i="1" s="1"/>
  <c r="J457" i="1"/>
  <c r="I457" i="1"/>
  <c r="L456" i="1"/>
  <c r="K456" i="1" a="1"/>
  <c r="K456" i="1" s="1"/>
  <c r="J456" i="1"/>
  <c r="I456" i="1"/>
  <c r="L455" i="1"/>
  <c r="K455" i="1" a="1"/>
  <c r="K455" i="1" s="1"/>
  <c r="J455" i="1"/>
  <c r="I455" i="1"/>
  <c r="L454" i="1"/>
  <c r="K454" i="1"/>
  <c r="K454" i="1" a="1"/>
  <c r="J454" i="1"/>
  <c r="I454" i="1"/>
  <c r="L453" i="1"/>
  <c r="K453" i="1"/>
  <c r="K453" i="1" a="1"/>
  <c r="J453" i="1"/>
  <c r="I453" i="1"/>
  <c r="L452" i="1"/>
  <c r="K452" i="1" a="1"/>
  <c r="K452" i="1" s="1"/>
  <c r="J452" i="1"/>
  <c r="I452" i="1"/>
  <c r="L451" i="1"/>
  <c r="K451" i="1" a="1"/>
  <c r="K451" i="1" s="1"/>
  <c r="J451" i="1"/>
  <c r="I451" i="1"/>
  <c r="L450" i="1"/>
  <c r="K450" i="1" a="1"/>
  <c r="K450" i="1" s="1"/>
  <c r="J450" i="1"/>
  <c r="I450" i="1"/>
  <c r="L449" i="1"/>
  <c r="K449" i="1" a="1"/>
  <c r="K449" i="1" s="1"/>
  <c r="J449" i="1"/>
  <c r="I449" i="1"/>
  <c r="L448" i="1"/>
  <c r="K448" i="1"/>
  <c r="K448" i="1" a="1"/>
  <c r="J448" i="1"/>
  <c r="I448" i="1"/>
  <c r="L447" i="1"/>
  <c r="K447" i="1" a="1"/>
  <c r="K447" i="1" s="1"/>
  <c r="J447" i="1"/>
  <c r="I447" i="1"/>
  <c r="L446" i="1"/>
  <c r="K446" i="1"/>
  <c r="K446" i="1" a="1"/>
  <c r="J446" i="1"/>
  <c r="I446" i="1"/>
  <c r="L445" i="1"/>
  <c r="K445" i="1" a="1"/>
  <c r="K445" i="1" s="1"/>
  <c r="J445" i="1"/>
  <c r="I445" i="1"/>
  <c r="L444" i="1"/>
  <c r="K444" i="1" a="1"/>
  <c r="K444" i="1" s="1"/>
  <c r="J444" i="1"/>
  <c r="I444" i="1"/>
  <c r="L443" i="1"/>
  <c r="K443" i="1" a="1"/>
  <c r="K443" i="1" s="1"/>
  <c r="J443" i="1"/>
  <c r="I443" i="1"/>
  <c r="L442" i="1"/>
  <c r="K442" i="1"/>
  <c r="K442" i="1" a="1"/>
  <c r="J442" i="1"/>
  <c r="I442" i="1"/>
  <c r="L441" i="1"/>
  <c r="K441" i="1"/>
  <c r="K441" i="1" a="1"/>
  <c r="J441" i="1"/>
  <c r="I441" i="1"/>
  <c r="L440" i="1"/>
  <c r="K440" i="1" a="1"/>
  <c r="K440" i="1" s="1"/>
  <c r="J440" i="1"/>
  <c r="I440" i="1"/>
  <c r="L439" i="1"/>
  <c r="K439" i="1" a="1"/>
  <c r="K439" i="1" s="1"/>
  <c r="J439" i="1"/>
  <c r="I439" i="1"/>
  <c r="L438" i="1"/>
  <c r="K438" i="1" a="1"/>
  <c r="K438" i="1" s="1"/>
  <c r="J438" i="1"/>
  <c r="I438" i="1"/>
  <c r="L437" i="1"/>
  <c r="K437" i="1" a="1"/>
  <c r="K437" i="1" s="1"/>
  <c r="J437" i="1"/>
  <c r="I437" i="1"/>
  <c r="L436" i="1"/>
  <c r="K436" i="1"/>
  <c r="K436" i="1" a="1"/>
  <c r="J436" i="1"/>
  <c r="I436" i="1"/>
  <c r="L435" i="1"/>
  <c r="K435" i="1" a="1"/>
  <c r="K435" i="1" s="1"/>
  <c r="J435" i="1"/>
  <c r="I435" i="1"/>
  <c r="L434" i="1"/>
  <c r="K434" i="1" a="1"/>
  <c r="K434" i="1" s="1"/>
  <c r="J434" i="1"/>
  <c r="I434" i="1"/>
  <c r="L433" i="1"/>
  <c r="K433" i="1"/>
  <c r="K433" i="1" a="1"/>
  <c r="J433" i="1"/>
  <c r="I433" i="1"/>
  <c r="L432" i="1"/>
  <c r="K432" i="1" a="1"/>
  <c r="K432" i="1" s="1"/>
  <c r="J432" i="1"/>
  <c r="I432" i="1"/>
  <c r="L431" i="1"/>
  <c r="K431" i="1" a="1"/>
  <c r="K431" i="1" s="1"/>
  <c r="J431" i="1"/>
  <c r="I431" i="1"/>
  <c r="L430" i="1"/>
  <c r="K430" i="1"/>
  <c r="K430" i="1" a="1"/>
  <c r="J430" i="1"/>
  <c r="I430" i="1"/>
  <c r="L429" i="1"/>
  <c r="K429" i="1"/>
  <c r="K429" i="1" a="1"/>
  <c r="J429" i="1"/>
  <c r="I429" i="1"/>
  <c r="L428" i="1"/>
  <c r="K428" i="1"/>
  <c r="K428" i="1" a="1"/>
  <c r="J428" i="1"/>
  <c r="I428" i="1"/>
  <c r="L427" i="1"/>
  <c r="K427" i="1" a="1"/>
  <c r="K427" i="1" s="1"/>
  <c r="J427" i="1"/>
  <c r="I427" i="1"/>
  <c r="L426" i="1"/>
  <c r="K426" i="1" a="1"/>
  <c r="K426" i="1" s="1"/>
  <c r="J426" i="1"/>
  <c r="I426" i="1"/>
  <c r="L425" i="1"/>
  <c r="K425" i="1" a="1"/>
  <c r="K425" i="1" s="1"/>
  <c r="J425" i="1"/>
  <c r="I425" i="1"/>
  <c r="L424" i="1"/>
  <c r="K424" i="1"/>
  <c r="K424" i="1" a="1"/>
  <c r="J424" i="1"/>
  <c r="I424" i="1"/>
  <c r="L423" i="1"/>
  <c r="K423" i="1" a="1"/>
  <c r="K423" i="1" s="1"/>
  <c r="J423" i="1"/>
  <c r="I423" i="1"/>
  <c r="L422" i="1"/>
  <c r="K422" i="1" a="1"/>
  <c r="K422" i="1" s="1"/>
  <c r="J422" i="1"/>
  <c r="I422" i="1"/>
  <c r="L421" i="1"/>
  <c r="K421" i="1" a="1"/>
  <c r="K421" i="1" s="1"/>
  <c r="J421" i="1"/>
  <c r="I421" i="1"/>
  <c r="L420" i="1"/>
  <c r="K420" i="1" a="1"/>
  <c r="K420" i="1" s="1"/>
  <c r="J420" i="1"/>
  <c r="I420" i="1"/>
  <c r="L419" i="1"/>
  <c r="K419" i="1" a="1"/>
  <c r="K419" i="1" s="1"/>
  <c r="J419" i="1"/>
  <c r="I419" i="1"/>
  <c r="L418" i="1"/>
  <c r="K418" i="1"/>
  <c r="K418" i="1" a="1"/>
  <c r="J418" i="1"/>
  <c r="I418" i="1"/>
  <c r="L417" i="1"/>
  <c r="K417" i="1"/>
  <c r="K417" i="1" a="1"/>
  <c r="J417" i="1"/>
  <c r="I417" i="1"/>
  <c r="L416" i="1"/>
  <c r="K416" i="1" a="1"/>
  <c r="K416" i="1" s="1"/>
  <c r="J416" i="1"/>
  <c r="I416" i="1"/>
  <c r="L415" i="1"/>
  <c r="K415" i="1" a="1"/>
  <c r="K415" i="1" s="1"/>
  <c r="J415" i="1"/>
  <c r="I415" i="1"/>
  <c r="L414" i="1"/>
  <c r="K414" i="1" a="1"/>
  <c r="K414" i="1" s="1"/>
  <c r="J414" i="1"/>
  <c r="I414" i="1"/>
  <c r="L413" i="1"/>
  <c r="K413" i="1" a="1"/>
  <c r="K413" i="1" s="1"/>
  <c r="J413" i="1"/>
  <c r="I413" i="1"/>
  <c r="L412" i="1"/>
  <c r="K412" i="1"/>
  <c r="K412" i="1" a="1"/>
  <c r="J412" i="1"/>
  <c r="I412" i="1"/>
  <c r="L411" i="1"/>
  <c r="K411" i="1" a="1"/>
  <c r="K411" i="1" s="1"/>
  <c r="J411" i="1"/>
  <c r="I411" i="1"/>
  <c r="L410" i="1"/>
  <c r="K410" i="1" a="1"/>
  <c r="K410" i="1" s="1"/>
  <c r="J410" i="1"/>
  <c r="I410" i="1"/>
  <c r="L409" i="1"/>
  <c r="K409" i="1" a="1"/>
  <c r="K409" i="1" s="1"/>
  <c r="J409" i="1"/>
  <c r="I409" i="1"/>
  <c r="L408" i="1"/>
  <c r="K408" i="1" a="1"/>
  <c r="K408" i="1" s="1"/>
  <c r="J408" i="1"/>
  <c r="I408" i="1"/>
  <c r="L407" i="1"/>
  <c r="K407" i="1" a="1"/>
  <c r="K407" i="1" s="1"/>
  <c r="J407" i="1"/>
  <c r="I407" i="1"/>
  <c r="L406" i="1"/>
  <c r="K406" i="1"/>
  <c r="K406" i="1" a="1"/>
  <c r="J406" i="1"/>
  <c r="I406" i="1"/>
  <c r="L405" i="1"/>
  <c r="K405" i="1"/>
  <c r="K405" i="1" a="1"/>
  <c r="J405" i="1"/>
  <c r="I405" i="1"/>
  <c r="L404" i="1"/>
  <c r="K404" i="1" a="1"/>
  <c r="K404" i="1" s="1"/>
  <c r="J404" i="1"/>
  <c r="I404" i="1"/>
  <c r="L403" i="1"/>
  <c r="K403" i="1" a="1"/>
  <c r="K403" i="1" s="1"/>
  <c r="J403" i="1"/>
  <c r="I403" i="1"/>
  <c r="L402" i="1"/>
  <c r="K402" i="1" a="1"/>
  <c r="K402" i="1" s="1"/>
  <c r="J402" i="1"/>
  <c r="I402" i="1"/>
  <c r="L401" i="1"/>
  <c r="K401" i="1" a="1"/>
  <c r="K401" i="1" s="1"/>
  <c r="J401" i="1"/>
  <c r="I401" i="1"/>
  <c r="L400" i="1"/>
  <c r="K400" i="1"/>
  <c r="K400" i="1" a="1"/>
  <c r="J400" i="1"/>
  <c r="I400" i="1"/>
  <c r="L399" i="1"/>
  <c r="K399" i="1" a="1"/>
  <c r="K399" i="1" s="1"/>
  <c r="J399" i="1"/>
  <c r="I399" i="1"/>
  <c r="L398" i="1"/>
  <c r="K398" i="1"/>
  <c r="K398" i="1" a="1"/>
  <c r="J398" i="1"/>
  <c r="I398" i="1"/>
  <c r="L397" i="1"/>
  <c r="K397" i="1" a="1"/>
  <c r="K397" i="1" s="1"/>
  <c r="J397" i="1"/>
  <c r="I397" i="1"/>
  <c r="L396" i="1"/>
  <c r="K396" i="1" a="1"/>
  <c r="K396" i="1" s="1"/>
  <c r="J396" i="1"/>
  <c r="I396" i="1"/>
  <c r="L395" i="1"/>
  <c r="K395" i="1" a="1"/>
  <c r="K395" i="1" s="1"/>
  <c r="J395" i="1"/>
  <c r="I395" i="1"/>
  <c r="L394" i="1"/>
  <c r="K394" i="1"/>
  <c r="K394" i="1" a="1"/>
  <c r="J394" i="1"/>
  <c r="I394" i="1"/>
  <c r="L393" i="1"/>
  <c r="K393" i="1"/>
  <c r="K393" i="1" a="1"/>
  <c r="J393" i="1"/>
  <c r="I393" i="1"/>
  <c r="L392" i="1"/>
  <c r="K392" i="1" a="1"/>
  <c r="K392" i="1" s="1"/>
  <c r="J392" i="1"/>
  <c r="I392" i="1"/>
  <c r="L391" i="1"/>
  <c r="K391" i="1" a="1"/>
  <c r="K391" i="1" s="1"/>
  <c r="J391" i="1"/>
  <c r="I391" i="1"/>
  <c r="L390" i="1"/>
  <c r="K390" i="1" a="1"/>
  <c r="K390" i="1" s="1"/>
  <c r="J390" i="1"/>
  <c r="I390" i="1"/>
  <c r="L389" i="1"/>
  <c r="K389" i="1" a="1"/>
  <c r="K389" i="1" s="1"/>
  <c r="J389" i="1"/>
  <c r="I389" i="1"/>
  <c r="L388" i="1"/>
  <c r="K388" i="1"/>
  <c r="K388" i="1" a="1"/>
  <c r="J388" i="1"/>
  <c r="I388" i="1"/>
  <c r="L387" i="1"/>
  <c r="K387" i="1" a="1"/>
  <c r="K387" i="1" s="1"/>
  <c r="J387" i="1"/>
  <c r="I387" i="1"/>
  <c r="L386" i="1"/>
  <c r="K386" i="1" a="1"/>
  <c r="K386" i="1" s="1"/>
  <c r="J386" i="1"/>
  <c r="I386" i="1"/>
  <c r="L385" i="1"/>
  <c r="K385" i="1"/>
  <c r="K385" i="1" a="1"/>
  <c r="J385" i="1"/>
  <c r="I385" i="1"/>
  <c r="L384" i="1"/>
  <c r="K384" i="1" a="1"/>
  <c r="K384" i="1" s="1"/>
  <c r="J384" i="1"/>
  <c r="I384" i="1"/>
  <c r="L383" i="1"/>
  <c r="K383" i="1" a="1"/>
  <c r="K383" i="1" s="1"/>
  <c r="J383" i="1"/>
  <c r="I383" i="1"/>
  <c r="L382" i="1"/>
  <c r="K382" i="1"/>
  <c r="K382" i="1" a="1"/>
  <c r="J382" i="1"/>
  <c r="I382" i="1"/>
  <c r="L381" i="1"/>
  <c r="K381" i="1"/>
  <c r="K381" i="1" a="1"/>
  <c r="J381" i="1"/>
  <c r="I381" i="1"/>
  <c r="L380" i="1"/>
  <c r="K380" i="1"/>
  <c r="K380" i="1" a="1"/>
  <c r="J380" i="1"/>
  <c r="I380" i="1"/>
  <c r="L379" i="1"/>
  <c r="K379" i="1" a="1"/>
  <c r="K379" i="1" s="1"/>
  <c r="J379" i="1"/>
  <c r="I379" i="1"/>
  <c r="L378" i="1"/>
  <c r="K378" i="1" a="1"/>
  <c r="K378" i="1" s="1"/>
  <c r="J378" i="1"/>
  <c r="I378" i="1"/>
  <c r="L377" i="1"/>
  <c r="K377" i="1" a="1"/>
  <c r="K377" i="1" s="1"/>
  <c r="J377" i="1"/>
  <c r="I377" i="1"/>
  <c r="L376" i="1"/>
  <c r="K376" i="1"/>
  <c r="K376" i="1" a="1"/>
  <c r="J376" i="1"/>
  <c r="I376" i="1"/>
  <c r="L375" i="1"/>
  <c r="K375" i="1" a="1"/>
  <c r="K375" i="1" s="1"/>
  <c r="J375" i="1"/>
  <c r="I375" i="1"/>
  <c r="L374" i="1"/>
  <c r="K374" i="1" a="1"/>
  <c r="K374" i="1" s="1"/>
  <c r="J374" i="1"/>
  <c r="I374" i="1"/>
  <c r="L373" i="1"/>
  <c r="K373" i="1" a="1"/>
  <c r="K373" i="1" s="1"/>
  <c r="J373" i="1"/>
  <c r="I373" i="1"/>
  <c r="L372" i="1"/>
  <c r="K372" i="1" a="1"/>
  <c r="K372" i="1" s="1"/>
  <c r="J372" i="1"/>
  <c r="I372" i="1"/>
  <c r="L371" i="1"/>
  <c r="K371" i="1" a="1"/>
  <c r="K371" i="1" s="1"/>
  <c r="J371" i="1"/>
  <c r="I371" i="1"/>
  <c r="L370" i="1"/>
  <c r="K370" i="1"/>
  <c r="K370" i="1" a="1"/>
  <c r="J370" i="1"/>
  <c r="I370" i="1"/>
  <c r="L369" i="1"/>
  <c r="K369" i="1"/>
  <c r="K369" i="1" a="1"/>
  <c r="J369" i="1"/>
  <c r="I369" i="1"/>
  <c r="L368" i="1"/>
  <c r="K368" i="1"/>
  <c r="K368" i="1" a="1"/>
  <c r="J368" i="1"/>
  <c r="I368" i="1"/>
  <c r="L367" i="1"/>
  <c r="K367" i="1" a="1"/>
  <c r="K367" i="1" s="1"/>
  <c r="J367" i="1"/>
  <c r="I367" i="1"/>
  <c r="L366" i="1"/>
  <c r="K366" i="1" a="1"/>
  <c r="K366" i="1" s="1"/>
  <c r="J366" i="1"/>
  <c r="I366" i="1"/>
  <c r="L365" i="1"/>
  <c r="K365" i="1" a="1"/>
  <c r="K365" i="1" s="1"/>
  <c r="J365" i="1"/>
  <c r="I365" i="1"/>
  <c r="L364" i="1"/>
  <c r="K364" i="1"/>
  <c r="K364" i="1" a="1"/>
  <c r="J364" i="1"/>
  <c r="I364" i="1"/>
  <c r="L363" i="1"/>
  <c r="K363" i="1" a="1"/>
  <c r="K363" i="1" s="1"/>
  <c r="J363" i="1"/>
  <c r="I363" i="1"/>
  <c r="L362" i="1"/>
  <c r="K362" i="1" a="1"/>
  <c r="K362" i="1" s="1"/>
  <c r="J362" i="1"/>
  <c r="I362" i="1"/>
  <c r="L361" i="1"/>
  <c r="K361" i="1" a="1"/>
  <c r="K361" i="1" s="1"/>
  <c r="J361" i="1"/>
  <c r="I361" i="1"/>
  <c r="L360" i="1"/>
  <c r="K360" i="1" a="1"/>
  <c r="K360" i="1" s="1"/>
  <c r="J360" i="1"/>
  <c r="I360" i="1"/>
  <c r="L359" i="1"/>
  <c r="K359" i="1" a="1"/>
  <c r="K359" i="1" s="1"/>
  <c r="J359" i="1"/>
  <c r="I359" i="1"/>
  <c r="L358" i="1"/>
  <c r="K358" i="1"/>
  <c r="K358" i="1" a="1"/>
  <c r="J358" i="1"/>
  <c r="I358" i="1"/>
  <c r="L357" i="1"/>
  <c r="K357" i="1"/>
  <c r="K357" i="1" a="1"/>
  <c r="J357" i="1"/>
  <c r="I357" i="1"/>
  <c r="L356" i="1"/>
  <c r="K356" i="1" a="1"/>
  <c r="K356" i="1" s="1"/>
  <c r="J356" i="1"/>
  <c r="I356" i="1"/>
  <c r="L355" i="1"/>
  <c r="K355" i="1" a="1"/>
  <c r="K355" i="1" s="1"/>
  <c r="J355" i="1"/>
  <c r="I355" i="1"/>
  <c r="L354" i="1"/>
  <c r="K354" i="1" a="1"/>
  <c r="K354" i="1" s="1"/>
  <c r="J354" i="1"/>
  <c r="I354" i="1"/>
  <c r="L353" i="1"/>
  <c r="K353" i="1" a="1"/>
  <c r="K353" i="1" s="1"/>
  <c r="J353" i="1"/>
  <c r="I353" i="1"/>
  <c r="L352" i="1"/>
  <c r="K352" i="1"/>
  <c r="K352" i="1" a="1"/>
  <c r="J352" i="1"/>
  <c r="I352" i="1"/>
  <c r="L351" i="1"/>
  <c r="K351" i="1" a="1"/>
  <c r="K351" i="1" s="1"/>
  <c r="J351" i="1"/>
  <c r="I351" i="1"/>
  <c r="L350" i="1"/>
  <c r="K350" i="1"/>
  <c r="K350" i="1" a="1"/>
  <c r="J350" i="1"/>
  <c r="I350" i="1"/>
  <c r="L349" i="1"/>
  <c r="K349" i="1" a="1"/>
  <c r="K349" i="1" s="1"/>
  <c r="J349" i="1"/>
  <c r="I349" i="1"/>
  <c r="L348" i="1"/>
  <c r="K348" i="1" a="1"/>
  <c r="K348" i="1" s="1"/>
  <c r="J348" i="1"/>
  <c r="I348" i="1"/>
  <c r="L347" i="1"/>
  <c r="K347" i="1" a="1"/>
  <c r="K347" i="1" s="1"/>
  <c r="J347" i="1"/>
  <c r="I347" i="1"/>
  <c r="L346" i="1"/>
  <c r="K346" i="1"/>
  <c r="K346" i="1" a="1"/>
  <c r="J346" i="1"/>
  <c r="I346" i="1"/>
  <c r="L345" i="1"/>
  <c r="K345" i="1"/>
  <c r="K345" i="1" a="1"/>
  <c r="J345" i="1"/>
  <c r="I345" i="1"/>
  <c r="L344" i="1"/>
  <c r="K344" i="1" a="1"/>
  <c r="K344" i="1" s="1"/>
  <c r="J344" i="1"/>
  <c r="I344" i="1"/>
  <c r="L343" i="1"/>
  <c r="K343" i="1" a="1"/>
  <c r="K343" i="1" s="1"/>
  <c r="J343" i="1"/>
  <c r="I343" i="1"/>
  <c r="L342" i="1"/>
  <c r="K342" i="1" a="1"/>
  <c r="K342" i="1" s="1"/>
  <c r="J342" i="1"/>
  <c r="I342" i="1"/>
  <c r="L341" i="1"/>
  <c r="K341" i="1" a="1"/>
  <c r="K341" i="1" s="1"/>
  <c r="J341" i="1"/>
  <c r="I341" i="1"/>
  <c r="L340" i="1"/>
  <c r="K340" i="1"/>
  <c r="K340" i="1" a="1"/>
  <c r="J340" i="1"/>
  <c r="I340" i="1"/>
  <c r="L339" i="1"/>
  <c r="K339" i="1" a="1"/>
  <c r="K339" i="1" s="1"/>
  <c r="J339" i="1"/>
  <c r="I339" i="1"/>
  <c r="L338" i="1"/>
  <c r="K338" i="1"/>
  <c r="K338" i="1" a="1"/>
  <c r="J338" i="1"/>
  <c r="I338" i="1"/>
  <c r="L337" i="1"/>
  <c r="K337" i="1"/>
  <c r="K337" i="1" a="1"/>
  <c r="J337" i="1"/>
  <c r="I337" i="1"/>
  <c r="L336" i="1"/>
  <c r="K336" i="1" a="1"/>
  <c r="K336" i="1" s="1"/>
  <c r="J336" i="1"/>
  <c r="I336" i="1"/>
  <c r="L335" i="1"/>
  <c r="K335" i="1" a="1"/>
  <c r="K335" i="1" s="1"/>
  <c r="J335" i="1"/>
  <c r="I335" i="1"/>
  <c r="L334" i="1"/>
  <c r="K334" i="1"/>
  <c r="K334" i="1" a="1"/>
  <c r="J334" i="1"/>
  <c r="I334" i="1"/>
  <c r="L333" i="1"/>
  <c r="K333" i="1"/>
  <c r="K333" i="1" a="1"/>
  <c r="J333" i="1"/>
  <c r="I333" i="1"/>
  <c r="L332" i="1"/>
  <c r="K332" i="1"/>
  <c r="K332" i="1" a="1"/>
  <c r="J332" i="1"/>
  <c r="I332" i="1"/>
  <c r="L331" i="1"/>
  <c r="K331" i="1" a="1"/>
  <c r="K331" i="1" s="1"/>
  <c r="J331" i="1"/>
  <c r="I331" i="1"/>
  <c r="L330" i="1"/>
  <c r="K330" i="1" a="1"/>
  <c r="K330" i="1" s="1"/>
  <c r="J330" i="1"/>
  <c r="I330" i="1"/>
  <c r="L329" i="1"/>
  <c r="K329" i="1" a="1"/>
  <c r="K329" i="1" s="1"/>
  <c r="J329" i="1"/>
  <c r="I329" i="1"/>
  <c r="L328" i="1"/>
  <c r="K328" i="1"/>
  <c r="K328" i="1" a="1"/>
  <c r="J328" i="1"/>
  <c r="I328" i="1"/>
  <c r="L327" i="1"/>
  <c r="K327" i="1" a="1"/>
  <c r="K327" i="1" s="1"/>
  <c r="J327" i="1"/>
  <c r="I327" i="1"/>
  <c r="L326" i="1"/>
  <c r="K326" i="1" a="1"/>
  <c r="K326" i="1" s="1"/>
  <c r="J326" i="1"/>
  <c r="I326" i="1"/>
  <c r="L325" i="1"/>
  <c r="K325" i="1"/>
  <c r="K325" i="1" a="1"/>
  <c r="J325" i="1"/>
  <c r="I325" i="1"/>
  <c r="L324" i="1"/>
  <c r="K324" i="1" a="1"/>
  <c r="K324" i="1" s="1"/>
  <c r="J324" i="1"/>
  <c r="I324" i="1"/>
  <c r="L323" i="1"/>
  <c r="K323" i="1" a="1"/>
  <c r="K323" i="1" s="1"/>
  <c r="J323" i="1"/>
  <c r="I323" i="1"/>
  <c r="L322" i="1"/>
  <c r="K322" i="1"/>
  <c r="K322" i="1" a="1"/>
  <c r="J322" i="1"/>
  <c r="I322" i="1"/>
  <c r="L321" i="1"/>
  <c r="K321" i="1"/>
  <c r="K321" i="1" a="1"/>
  <c r="J321" i="1"/>
  <c r="I321" i="1"/>
  <c r="L320" i="1"/>
  <c r="K320" i="1" a="1"/>
  <c r="K320" i="1" s="1"/>
  <c r="J320" i="1"/>
  <c r="I320" i="1"/>
  <c r="L319" i="1"/>
  <c r="K319" i="1" a="1"/>
  <c r="K319" i="1" s="1"/>
  <c r="J319" i="1"/>
  <c r="I319" i="1"/>
  <c r="L318" i="1"/>
  <c r="K318" i="1" a="1"/>
  <c r="K318" i="1" s="1"/>
  <c r="J318" i="1"/>
  <c r="I318" i="1"/>
  <c r="L317" i="1"/>
  <c r="K317" i="1" a="1"/>
  <c r="K317" i="1" s="1"/>
  <c r="J317" i="1"/>
  <c r="I317" i="1"/>
  <c r="L316" i="1"/>
  <c r="K316" i="1"/>
  <c r="K316" i="1" a="1"/>
  <c r="J316" i="1"/>
  <c r="I316" i="1"/>
  <c r="L315" i="1"/>
  <c r="K315" i="1" a="1"/>
  <c r="K315" i="1" s="1"/>
  <c r="J315" i="1"/>
  <c r="I315" i="1"/>
  <c r="L314" i="1"/>
  <c r="K314" i="1" a="1"/>
  <c r="K314" i="1" s="1"/>
  <c r="J314" i="1"/>
  <c r="I314" i="1"/>
  <c r="L313" i="1"/>
  <c r="K313" i="1" a="1"/>
  <c r="K313" i="1" s="1"/>
  <c r="J313" i="1"/>
  <c r="I313" i="1"/>
  <c r="L312" i="1"/>
  <c r="K312" i="1" a="1"/>
  <c r="K312" i="1" s="1"/>
  <c r="J312" i="1"/>
  <c r="I312" i="1"/>
  <c r="L311" i="1"/>
  <c r="K311" i="1" a="1"/>
  <c r="K311" i="1" s="1"/>
  <c r="J311" i="1"/>
  <c r="I311" i="1"/>
  <c r="L310" i="1"/>
  <c r="K310" i="1"/>
  <c r="K310" i="1" a="1"/>
  <c r="J310" i="1"/>
  <c r="I310" i="1"/>
  <c r="L309" i="1"/>
  <c r="K309" i="1"/>
  <c r="K309" i="1" a="1"/>
  <c r="J309" i="1"/>
  <c r="I309" i="1"/>
  <c r="L308" i="1"/>
  <c r="K308" i="1" a="1"/>
  <c r="K308" i="1" s="1"/>
  <c r="J308" i="1"/>
  <c r="I308" i="1"/>
  <c r="L307" i="1"/>
  <c r="K307" i="1" a="1"/>
  <c r="K307" i="1" s="1"/>
  <c r="J307" i="1"/>
  <c r="I307" i="1"/>
  <c r="L306" i="1"/>
  <c r="K306" i="1" a="1"/>
  <c r="K306" i="1" s="1"/>
  <c r="J306" i="1"/>
  <c r="I306" i="1"/>
  <c r="L305" i="1"/>
  <c r="K305" i="1" a="1"/>
  <c r="K305" i="1" s="1"/>
  <c r="J305" i="1"/>
  <c r="I305" i="1"/>
  <c r="L304" i="1"/>
  <c r="K304" i="1"/>
  <c r="K304" i="1" a="1"/>
  <c r="J304" i="1"/>
  <c r="I304" i="1"/>
  <c r="L303" i="1"/>
  <c r="K303" i="1" a="1"/>
  <c r="K303" i="1" s="1"/>
  <c r="J303" i="1"/>
  <c r="I303" i="1"/>
  <c r="L302" i="1"/>
  <c r="K302" i="1"/>
  <c r="K302" i="1" a="1"/>
  <c r="J302" i="1"/>
  <c r="I302" i="1"/>
  <c r="L301" i="1"/>
  <c r="K301" i="1" a="1"/>
  <c r="K301" i="1" s="1"/>
  <c r="J301" i="1"/>
  <c r="I301" i="1"/>
  <c r="L300" i="1"/>
  <c r="K300" i="1" a="1"/>
  <c r="K300" i="1" s="1"/>
  <c r="J300" i="1"/>
  <c r="I300" i="1"/>
  <c r="L299" i="1"/>
  <c r="K299" i="1" a="1"/>
  <c r="K299" i="1" s="1"/>
  <c r="J299" i="1"/>
  <c r="I299" i="1"/>
  <c r="L298" i="1"/>
  <c r="K298" i="1"/>
  <c r="K298" i="1" a="1"/>
  <c r="J298" i="1"/>
  <c r="I298" i="1"/>
  <c r="L297" i="1"/>
  <c r="K297" i="1"/>
  <c r="K297" i="1" a="1"/>
  <c r="J297" i="1"/>
  <c r="I297" i="1"/>
  <c r="L296" i="1"/>
  <c r="K296" i="1" a="1"/>
  <c r="K296" i="1" s="1"/>
  <c r="J296" i="1"/>
  <c r="I296" i="1"/>
  <c r="L295" i="1"/>
  <c r="K295" i="1" a="1"/>
  <c r="K295" i="1" s="1"/>
  <c r="J295" i="1"/>
  <c r="I295" i="1"/>
  <c r="L294" i="1"/>
  <c r="K294" i="1" a="1"/>
  <c r="K294" i="1" s="1"/>
  <c r="J294" i="1"/>
  <c r="I294" i="1"/>
  <c r="L293" i="1"/>
  <c r="K293" i="1" a="1"/>
  <c r="K293" i="1" s="1"/>
  <c r="J293" i="1"/>
  <c r="I293" i="1"/>
  <c r="L292" i="1"/>
  <c r="K292" i="1"/>
  <c r="K292" i="1" a="1"/>
  <c r="J292" i="1"/>
  <c r="I292" i="1"/>
  <c r="L291" i="1"/>
  <c r="K291" i="1" a="1"/>
  <c r="K291" i="1" s="1"/>
  <c r="J291" i="1"/>
  <c r="I291" i="1"/>
  <c r="L290" i="1"/>
  <c r="K290" i="1" a="1"/>
  <c r="K290" i="1" s="1"/>
  <c r="J290" i="1"/>
  <c r="I290" i="1"/>
  <c r="L289" i="1"/>
  <c r="K289" i="1"/>
  <c r="K289" i="1" a="1"/>
  <c r="J289" i="1"/>
  <c r="I289" i="1"/>
  <c r="L288" i="1"/>
  <c r="K288" i="1" a="1"/>
  <c r="K288" i="1" s="1"/>
  <c r="J288" i="1"/>
  <c r="I288" i="1"/>
  <c r="L287" i="1"/>
  <c r="K287" i="1" a="1"/>
  <c r="K287" i="1" s="1"/>
  <c r="J287" i="1"/>
  <c r="I287" i="1"/>
  <c r="L286" i="1"/>
  <c r="K286" i="1"/>
  <c r="K286" i="1" a="1"/>
  <c r="J286" i="1"/>
  <c r="I286" i="1"/>
  <c r="L285" i="1"/>
  <c r="K285" i="1"/>
  <c r="K285" i="1" a="1"/>
  <c r="J285" i="1"/>
  <c r="I285" i="1"/>
  <c r="L284" i="1"/>
  <c r="K284" i="1"/>
  <c r="K284" i="1" a="1"/>
  <c r="J284" i="1"/>
  <c r="I284" i="1"/>
  <c r="L283" i="1"/>
  <c r="K283" i="1" a="1"/>
  <c r="K283" i="1" s="1"/>
  <c r="J283" i="1"/>
  <c r="I283" i="1"/>
  <c r="L282" i="1"/>
  <c r="K282" i="1" a="1"/>
  <c r="K282" i="1" s="1"/>
  <c r="J282" i="1"/>
  <c r="I282" i="1"/>
  <c r="L281" i="1"/>
  <c r="K281" i="1" a="1"/>
  <c r="K281" i="1" s="1"/>
  <c r="J281" i="1"/>
  <c r="I281" i="1"/>
  <c r="L280" i="1"/>
  <c r="K280" i="1"/>
  <c r="K280" i="1" a="1"/>
  <c r="J280" i="1"/>
  <c r="I280" i="1"/>
  <c r="L279" i="1"/>
  <c r="K279" i="1" a="1"/>
  <c r="K279" i="1" s="1"/>
  <c r="J279" i="1"/>
  <c r="I279" i="1"/>
  <c r="L278" i="1"/>
  <c r="K278" i="1" a="1"/>
  <c r="K278" i="1" s="1"/>
  <c r="J278" i="1"/>
  <c r="I278" i="1"/>
  <c r="L277" i="1"/>
  <c r="K277" i="1" a="1"/>
  <c r="K277" i="1" s="1"/>
  <c r="J277" i="1"/>
  <c r="I277" i="1"/>
  <c r="L276" i="1"/>
  <c r="K276" i="1" a="1"/>
  <c r="K276" i="1" s="1"/>
  <c r="J276" i="1"/>
  <c r="I276" i="1"/>
  <c r="L275" i="1"/>
  <c r="K275" i="1" a="1"/>
  <c r="K275" i="1" s="1"/>
  <c r="J275" i="1"/>
  <c r="I275" i="1"/>
  <c r="L274" i="1"/>
  <c r="K274" i="1"/>
  <c r="K274" i="1" a="1"/>
  <c r="J274" i="1"/>
  <c r="I274" i="1"/>
  <c r="L273" i="1"/>
  <c r="K273" i="1"/>
  <c r="K273" i="1" a="1"/>
  <c r="J273" i="1"/>
  <c r="I273" i="1"/>
  <c r="L272" i="1"/>
  <c r="K272" i="1" a="1"/>
  <c r="K272" i="1" s="1"/>
  <c r="J272" i="1"/>
  <c r="I272" i="1"/>
  <c r="L271" i="1"/>
  <c r="K271" i="1" a="1"/>
  <c r="K271" i="1" s="1"/>
  <c r="J271" i="1"/>
  <c r="I271" i="1"/>
  <c r="L270" i="1"/>
  <c r="K270" i="1" a="1"/>
  <c r="K270" i="1" s="1"/>
  <c r="J270" i="1"/>
  <c r="I270" i="1"/>
  <c r="L269" i="1"/>
  <c r="K269" i="1" a="1"/>
  <c r="K269" i="1" s="1"/>
  <c r="J269" i="1"/>
  <c r="I269" i="1"/>
  <c r="L268" i="1"/>
  <c r="K268" i="1"/>
  <c r="K268" i="1" a="1"/>
  <c r="J268" i="1"/>
  <c r="I268" i="1"/>
  <c r="L267" i="1"/>
  <c r="K267" i="1" a="1"/>
  <c r="K267" i="1" s="1"/>
  <c r="J267" i="1"/>
  <c r="I267" i="1"/>
  <c r="L266" i="1"/>
  <c r="K266" i="1" a="1"/>
  <c r="K266" i="1" s="1"/>
  <c r="J266" i="1"/>
  <c r="I266" i="1"/>
  <c r="L265" i="1"/>
  <c r="K265" i="1" a="1"/>
  <c r="K265" i="1" s="1"/>
  <c r="J265" i="1"/>
  <c r="I265" i="1"/>
  <c r="L264" i="1"/>
  <c r="K264" i="1" a="1"/>
  <c r="K264" i="1" s="1"/>
  <c r="J264" i="1"/>
  <c r="I264" i="1"/>
  <c r="L263" i="1"/>
  <c r="K263" i="1" a="1"/>
  <c r="K263" i="1" s="1"/>
  <c r="J263" i="1"/>
  <c r="I263" i="1"/>
  <c r="L262" i="1"/>
  <c r="K262" i="1"/>
  <c r="K262" i="1" a="1"/>
  <c r="J262" i="1"/>
  <c r="I262" i="1"/>
  <c r="L261" i="1"/>
  <c r="K261" i="1"/>
  <c r="K261" i="1" a="1"/>
  <c r="J261" i="1"/>
  <c r="I261" i="1"/>
  <c r="L260" i="1"/>
  <c r="K260" i="1" a="1"/>
  <c r="K260" i="1" s="1"/>
  <c r="J260" i="1"/>
  <c r="I260" i="1"/>
  <c r="L259" i="1"/>
  <c r="K259" i="1" a="1"/>
  <c r="K259" i="1" s="1"/>
  <c r="J259" i="1"/>
  <c r="I259" i="1"/>
  <c r="L258" i="1"/>
  <c r="K258" i="1" a="1"/>
  <c r="K258" i="1" s="1"/>
  <c r="J258" i="1"/>
  <c r="I258" i="1"/>
  <c r="L257" i="1"/>
  <c r="K257" i="1" a="1"/>
  <c r="K257" i="1" s="1"/>
  <c r="J257" i="1"/>
  <c r="I257" i="1"/>
  <c r="L256" i="1"/>
  <c r="K256" i="1"/>
  <c r="K256" i="1" a="1"/>
  <c r="J256" i="1"/>
  <c r="I256" i="1"/>
  <c r="L255" i="1"/>
  <c r="K255" i="1" a="1"/>
  <c r="K255" i="1" s="1"/>
  <c r="J255" i="1"/>
  <c r="I255" i="1"/>
  <c r="L254" i="1"/>
  <c r="K254" i="1"/>
  <c r="K254" i="1" a="1"/>
  <c r="J254" i="1"/>
  <c r="I254" i="1"/>
  <c r="L253" i="1"/>
  <c r="K253" i="1" a="1"/>
  <c r="K253" i="1" s="1"/>
  <c r="J253" i="1"/>
  <c r="I253" i="1"/>
  <c r="L252" i="1"/>
  <c r="K252" i="1" a="1"/>
  <c r="K252" i="1" s="1"/>
  <c r="J252" i="1"/>
  <c r="I252" i="1"/>
  <c r="L251" i="1"/>
  <c r="K251" i="1" a="1"/>
  <c r="K251" i="1" s="1"/>
  <c r="J251" i="1"/>
  <c r="I251" i="1"/>
  <c r="L250" i="1"/>
  <c r="K250" i="1"/>
  <c r="K250" i="1" a="1"/>
  <c r="J250" i="1"/>
  <c r="I250" i="1"/>
  <c r="L249" i="1"/>
  <c r="K249" i="1"/>
  <c r="K249" i="1" a="1"/>
  <c r="J249" i="1"/>
  <c r="I249" i="1"/>
  <c r="L248" i="1"/>
  <c r="K248" i="1" a="1"/>
  <c r="K248" i="1" s="1"/>
  <c r="J248" i="1"/>
  <c r="I248" i="1"/>
  <c r="L247" i="1"/>
  <c r="K247" i="1"/>
  <c r="K247" i="1" a="1"/>
  <c r="J247" i="1"/>
  <c r="I247" i="1"/>
  <c r="L246" i="1"/>
  <c r="K246" i="1" a="1"/>
  <c r="K246" i="1" s="1"/>
  <c r="J246" i="1"/>
  <c r="I246" i="1"/>
  <c r="L245" i="1"/>
  <c r="K245" i="1" a="1"/>
  <c r="K245" i="1" s="1"/>
  <c r="J245" i="1"/>
  <c r="I245" i="1"/>
  <c r="L244" i="1"/>
  <c r="K244" i="1"/>
  <c r="K244" i="1" a="1"/>
  <c r="J244" i="1"/>
  <c r="I244" i="1"/>
  <c r="L243" i="1"/>
  <c r="K243" i="1" a="1"/>
  <c r="K243" i="1" s="1"/>
  <c r="J243" i="1"/>
  <c r="I243" i="1"/>
  <c r="L242" i="1"/>
  <c r="K242" i="1"/>
  <c r="K242" i="1" a="1"/>
  <c r="J242" i="1"/>
  <c r="I242" i="1"/>
  <c r="L241" i="1"/>
  <c r="K241" i="1"/>
  <c r="K241" i="1" a="1"/>
  <c r="J241" i="1"/>
  <c r="I241" i="1"/>
  <c r="L240" i="1"/>
  <c r="K240" i="1" a="1"/>
  <c r="K240" i="1" s="1"/>
  <c r="J240" i="1"/>
  <c r="I240" i="1"/>
  <c r="L239" i="1"/>
  <c r="K239" i="1" a="1"/>
  <c r="K239" i="1" s="1"/>
  <c r="J239" i="1"/>
  <c r="I239" i="1"/>
  <c r="L238" i="1"/>
  <c r="K238" i="1"/>
  <c r="K238" i="1" a="1"/>
  <c r="J238" i="1"/>
  <c r="I238" i="1"/>
  <c r="L237" i="1"/>
  <c r="K237" i="1"/>
  <c r="K237" i="1" a="1"/>
  <c r="J237" i="1"/>
  <c r="I237" i="1"/>
  <c r="L236" i="1"/>
  <c r="K236" i="1"/>
  <c r="K236" i="1" a="1"/>
  <c r="J236" i="1"/>
  <c r="I236" i="1"/>
  <c r="L235" i="1"/>
  <c r="K235" i="1" a="1"/>
  <c r="K235" i="1" s="1"/>
  <c r="J235" i="1"/>
  <c r="I235" i="1"/>
  <c r="L234" i="1"/>
  <c r="K234" i="1" a="1"/>
  <c r="K234" i="1" s="1"/>
  <c r="J234" i="1"/>
  <c r="I234" i="1"/>
  <c r="L233" i="1"/>
  <c r="K233" i="1" a="1"/>
  <c r="K233" i="1" s="1"/>
  <c r="J233" i="1"/>
  <c r="I233" i="1"/>
  <c r="L232" i="1"/>
  <c r="K232" i="1"/>
  <c r="K232" i="1" a="1"/>
  <c r="J232" i="1"/>
  <c r="I232" i="1"/>
  <c r="L231" i="1"/>
  <c r="K231" i="1" a="1"/>
  <c r="K231" i="1" s="1"/>
  <c r="J231" i="1"/>
  <c r="I231" i="1"/>
  <c r="L230" i="1"/>
  <c r="K230" i="1" a="1"/>
  <c r="K230" i="1" s="1"/>
  <c r="J230" i="1"/>
  <c r="I230" i="1"/>
  <c r="L229" i="1"/>
  <c r="K229" i="1" a="1"/>
  <c r="K229" i="1" s="1"/>
  <c r="J229" i="1"/>
  <c r="I229" i="1"/>
  <c r="L228" i="1"/>
  <c r="K228" i="1" a="1"/>
  <c r="K228" i="1" s="1"/>
  <c r="J228" i="1"/>
  <c r="I228" i="1"/>
  <c r="L227" i="1"/>
  <c r="K227" i="1" a="1"/>
  <c r="K227" i="1" s="1"/>
  <c r="J227" i="1"/>
  <c r="I227" i="1"/>
  <c r="L226" i="1"/>
  <c r="K226" i="1"/>
  <c r="K226" i="1" a="1"/>
  <c r="J226" i="1"/>
  <c r="I226" i="1"/>
  <c r="L225" i="1"/>
  <c r="K225" i="1"/>
  <c r="K225" i="1" a="1"/>
  <c r="J225" i="1"/>
  <c r="I225" i="1"/>
  <c r="L224" i="1"/>
  <c r="K224" i="1" a="1"/>
  <c r="K224" i="1" s="1"/>
  <c r="J224" i="1"/>
  <c r="I224" i="1"/>
  <c r="L223" i="1"/>
  <c r="K223" i="1" a="1"/>
  <c r="K223" i="1" s="1"/>
  <c r="J223" i="1"/>
  <c r="I223" i="1"/>
  <c r="L222" i="1"/>
  <c r="K222" i="1" a="1"/>
  <c r="K222" i="1" s="1"/>
  <c r="J222" i="1"/>
  <c r="I222" i="1"/>
  <c r="L221" i="1"/>
  <c r="K221" i="1" a="1"/>
  <c r="K221" i="1" s="1"/>
  <c r="J221" i="1"/>
  <c r="I221" i="1"/>
  <c r="L220" i="1"/>
  <c r="K220" i="1"/>
  <c r="K220" i="1" a="1"/>
  <c r="J220" i="1"/>
  <c r="I220" i="1"/>
  <c r="L219" i="1"/>
  <c r="K219" i="1" a="1"/>
  <c r="K219" i="1" s="1"/>
  <c r="J219" i="1"/>
  <c r="I219" i="1"/>
  <c r="L218" i="1"/>
  <c r="K218" i="1" a="1"/>
  <c r="K218" i="1" s="1"/>
  <c r="J218" i="1"/>
  <c r="I218" i="1"/>
  <c r="L217" i="1"/>
  <c r="K217" i="1" a="1"/>
  <c r="K217" i="1" s="1"/>
  <c r="J217" i="1"/>
  <c r="I217" i="1"/>
  <c r="L216" i="1"/>
  <c r="K216" i="1" a="1"/>
  <c r="K216" i="1" s="1"/>
  <c r="J216" i="1"/>
  <c r="I216" i="1"/>
  <c r="L215" i="1"/>
  <c r="K215" i="1" a="1"/>
  <c r="K215" i="1" s="1"/>
  <c r="J215" i="1"/>
  <c r="I215" i="1"/>
  <c r="L214" i="1"/>
  <c r="K214" i="1"/>
  <c r="K214" i="1" a="1"/>
  <c r="J214" i="1"/>
  <c r="I214" i="1"/>
  <c r="L213" i="1"/>
  <c r="K213" i="1"/>
  <c r="K213" i="1" a="1"/>
  <c r="J213" i="1"/>
  <c r="I213" i="1"/>
  <c r="L212" i="1"/>
  <c r="K212" i="1" a="1"/>
  <c r="K212" i="1" s="1"/>
  <c r="J212" i="1"/>
  <c r="I212" i="1"/>
  <c r="L211" i="1"/>
  <c r="K211" i="1" a="1"/>
  <c r="K211" i="1" s="1"/>
  <c r="J211" i="1"/>
  <c r="I211" i="1"/>
  <c r="L210" i="1"/>
  <c r="K210" i="1" a="1"/>
  <c r="K210" i="1" s="1"/>
  <c r="J210" i="1"/>
  <c r="I210" i="1"/>
  <c r="L209" i="1"/>
  <c r="K209" i="1" a="1"/>
  <c r="K209" i="1" s="1"/>
  <c r="J209" i="1"/>
  <c r="I209" i="1"/>
  <c r="L208" i="1"/>
  <c r="K208" i="1"/>
  <c r="K208" i="1" a="1"/>
  <c r="J208" i="1"/>
  <c r="I208" i="1"/>
  <c r="L207" i="1"/>
  <c r="K207" i="1" a="1"/>
  <c r="K207" i="1" s="1"/>
  <c r="J207" i="1"/>
  <c r="I207" i="1"/>
  <c r="L206" i="1"/>
  <c r="K206" i="1"/>
  <c r="K206" i="1" a="1"/>
  <c r="J206" i="1"/>
  <c r="I206" i="1"/>
  <c r="L205" i="1"/>
  <c r="K205" i="1" a="1"/>
  <c r="K205" i="1" s="1"/>
  <c r="J205" i="1"/>
  <c r="I205" i="1"/>
  <c r="L204" i="1"/>
  <c r="K204" i="1" a="1"/>
  <c r="K204" i="1" s="1"/>
  <c r="J204" i="1"/>
  <c r="I204" i="1"/>
  <c r="L203" i="1"/>
  <c r="K203" i="1" a="1"/>
  <c r="K203" i="1" s="1"/>
  <c r="J203" i="1"/>
  <c r="I203" i="1"/>
  <c r="L202" i="1"/>
  <c r="K202" i="1"/>
  <c r="K202" i="1" a="1"/>
  <c r="J202" i="1"/>
  <c r="I202" i="1"/>
  <c r="L201" i="1"/>
  <c r="K201" i="1"/>
  <c r="K201" i="1" a="1"/>
  <c r="J201" i="1"/>
  <c r="I201" i="1"/>
  <c r="L200" i="1"/>
  <c r="K200" i="1" a="1"/>
  <c r="K200" i="1" s="1"/>
  <c r="J200" i="1"/>
  <c r="I200" i="1"/>
  <c r="L199" i="1"/>
  <c r="K199" i="1"/>
  <c r="K199" i="1" a="1"/>
  <c r="J199" i="1"/>
  <c r="I199" i="1"/>
  <c r="L198" i="1"/>
  <c r="K198" i="1" a="1"/>
  <c r="K198" i="1" s="1"/>
  <c r="J198" i="1"/>
  <c r="I198" i="1"/>
  <c r="L197" i="1"/>
  <c r="K197" i="1" a="1"/>
  <c r="K197" i="1" s="1"/>
  <c r="J197" i="1"/>
  <c r="I197" i="1"/>
  <c r="L196" i="1"/>
  <c r="K196" i="1"/>
  <c r="K196" i="1" a="1"/>
  <c r="J196" i="1"/>
  <c r="I196" i="1"/>
  <c r="L195" i="1"/>
  <c r="K195" i="1" a="1"/>
  <c r="K195" i="1" s="1"/>
  <c r="J195" i="1"/>
  <c r="I195" i="1"/>
  <c r="L194" i="1"/>
  <c r="K194" i="1"/>
  <c r="K194" i="1" a="1"/>
  <c r="J194" i="1"/>
  <c r="I194" i="1"/>
  <c r="L193" i="1"/>
  <c r="K193" i="1"/>
  <c r="K193" i="1" a="1"/>
  <c r="J193" i="1"/>
  <c r="I193" i="1"/>
  <c r="L192" i="1"/>
  <c r="K192" i="1" a="1"/>
  <c r="K192" i="1" s="1"/>
  <c r="J192" i="1"/>
  <c r="I192" i="1"/>
  <c r="L191" i="1"/>
  <c r="K191" i="1" a="1"/>
  <c r="K191" i="1" s="1"/>
  <c r="J191" i="1"/>
  <c r="I191" i="1"/>
  <c r="L190" i="1"/>
  <c r="K190" i="1"/>
  <c r="K190" i="1" a="1"/>
  <c r="J190" i="1"/>
  <c r="I190" i="1"/>
  <c r="L189" i="1"/>
  <c r="K189" i="1"/>
  <c r="K189" i="1" a="1"/>
  <c r="J189" i="1"/>
  <c r="I189" i="1"/>
  <c r="L188" i="1"/>
  <c r="K188" i="1"/>
  <c r="K188" i="1" a="1"/>
  <c r="J188" i="1"/>
  <c r="I188" i="1"/>
  <c r="L187" i="1"/>
  <c r="K187" i="1" a="1"/>
  <c r="K187" i="1" s="1"/>
  <c r="J187" i="1"/>
  <c r="I187" i="1"/>
  <c r="L186" i="1"/>
  <c r="K186" i="1" a="1"/>
  <c r="K186" i="1" s="1"/>
  <c r="J186" i="1"/>
  <c r="I186" i="1"/>
  <c r="L185" i="1"/>
  <c r="K185" i="1" a="1"/>
  <c r="K185" i="1" s="1"/>
  <c r="J185" i="1"/>
  <c r="I185" i="1"/>
  <c r="L184" i="1"/>
  <c r="K184" i="1"/>
  <c r="K184" i="1" a="1"/>
  <c r="J184" i="1"/>
  <c r="I184" i="1"/>
  <c r="L183" i="1"/>
  <c r="K183" i="1"/>
  <c r="K183" i="1" a="1"/>
  <c r="J183" i="1"/>
  <c r="I183" i="1"/>
  <c r="L182" i="1"/>
  <c r="K182" i="1" a="1"/>
  <c r="K182" i="1" s="1"/>
  <c r="J182" i="1"/>
  <c r="I182" i="1"/>
  <c r="L181" i="1"/>
  <c r="K181" i="1" a="1"/>
  <c r="K181" i="1" s="1"/>
  <c r="J181" i="1"/>
  <c r="I181" i="1"/>
  <c r="L180" i="1"/>
  <c r="K180" i="1" a="1"/>
  <c r="K180" i="1" s="1"/>
  <c r="J180" i="1"/>
  <c r="I180" i="1"/>
  <c r="L179" i="1"/>
  <c r="K179" i="1" a="1"/>
  <c r="K179" i="1" s="1"/>
  <c r="J179" i="1"/>
  <c r="I179" i="1"/>
  <c r="L178" i="1"/>
  <c r="K178" i="1"/>
  <c r="K178" i="1" a="1"/>
  <c r="J178" i="1"/>
  <c r="I178" i="1"/>
  <c r="L177" i="1"/>
  <c r="K177" i="1"/>
  <c r="K177" i="1" a="1"/>
  <c r="J177" i="1"/>
  <c r="I177" i="1"/>
  <c r="L176" i="1"/>
  <c r="K176" i="1"/>
  <c r="K176" i="1" a="1"/>
  <c r="J176" i="1"/>
  <c r="I176" i="1"/>
  <c r="L175" i="1"/>
  <c r="K175" i="1" a="1"/>
  <c r="K175" i="1" s="1"/>
  <c r="J175" i="1"/>
  <c r="I175" i="1"/>
  <c r="L174" i="1"/>
  <c r="K174" i="1" a="1"/>
  <c r="K174" i="1" s="1"/>
  <c r="J174" i="1"/>
  <c r="I174" i="1"/>
  <c r="L173" i="1"/>
  <c r="K173" i="1" a="1"/>
  <c r="K173" i="1" s="1"/>
  <c r="J173" i="1"/>
  <c r="I173" i="1"/>
  <c r="L172" i="1"/>
  <c r="K172" i="1"/>
  <c r="K172" i="1" a="1"/>
  <c r="J172" i="1"/>
  <c r="I172" i="1"/>
  <c r="L171" i="1"/>
  <c r="K171" i="1" a="1"/>
  <c r="K171" i="1" s="1"/>
  <c r="J171" i="1"/>
  <c r="I171" i="1"/>
  <c r="L170" i="1"/>
  <c r="K170" i="1" a="1"/>
  <c r="K170" i="1" s="1"/>
  <c r="J170" i="1"/>
  <c r="I170" i="1"/>
  <c r="L169" i="1"/>
  <c r="K169" i="1" a="1"/>
  <c r="K169" i="1" s="1"/>
  <c r="J169" i="1"/>
  <c r="I169" i="1"/>
  <c r="L168" i="1"/>
  <c r="K168" i="1"/>
  <c r="K168" i="1" a="1"/>
  <c r="J168" i="1"/>
  <c r="I168" i="1"/>
  <c r="L167" i="1"/>
  <c r="K167" i="1" a="1"/>
  <c r="K167" i="1" s="1"/>
  <c r="J167" i="1"/>
  <c r="I167" i="1"/>
  <c r="L166" i="1"/>
  <c r="K166" i="1"/>
  <c r="K166" i="1" a="1"/>
  <c r="J166" i="1"/>
  <c r="I166" i="1"/>
  <c r="L165" i="1"/>
  <c r="K165" i="1"/>
  <c r="K165" i="1" a="1"/>
  <c r="J165" i="1"/>
  <c r="I165" i="1"/>
  <c r="L164" i="1"/>
  <c r="K164" i="1" a="1"/>
  <c r="K164" i="1" s="1"/>
  <c r="J164" i="1"/>
  <c r="I164" i="1"/>
  <c r="L163" i="1"/>
  <c r="K163" i="1"/>
  <c r="K163" i="1" a="1"/>
  <c r="J163" i="1"/>
  <c r="I163" i="1"/>
  <c r="L162" i="1"/>
  <c r="K162" i="1" a="1"/>
  <c r="K162" i="1" s="1"/>
  <c r="J162" i="1"/>
  <c r="I162" i="1"/>
  <c r="L161" i="1"/>
  <c r="K161" i="1" a="1"/>
  <c r="K161" i="1" s="1"/>
  <c r="J161" i="1"/>
  <c r="I161" i="1"/>
  <c r="L160" i="1"/>
  <c r="K160" i="1"/>
  <c r="K160" i="1" a="1"/>
  <c r="J160" i="1"/>
  <c r="I160" i="1"/>
  <c r="L159" i="1"/>
  <c r="K159" i="1" a="1"/>
  <c r="K159" i="1" s="1"/>
  <c r="J159" i="1"/>
  <c r="I159" i="1"/>
  <c r="L158" i="1"/>
  <c r="K158" i="1"/>
  <c r="K158" i="1" a="1"/>
  <c r="J158" i="1"/>
  <c r="I158" i="1"/>
  <c r="L157" i="1"/>
  <c r="K157" i="1" a="1"/>
  <c r="K157" i="1" s="1"/>
  <c r="J157" i="1"/>
  <c r="I157" i="1"/>
  <c r="L156" i="1"/>
  <c r="K156" i="1" a="1"/>
  <c r="K156" i="1" s="1"/>
  <c r="J156" i="1"/>
  <c r="I156" i="1"/>
  <c r="L155" i="1"/>
  <c r="K155" i="1" a="1"/>
  <c r="K155" i="1" s="1"/>
  <c r="J155" i="1"/>
  <c r="I155" i="1"/>
  <c r="L154" i="1"/>
  <c r="K154" i="1"/>
  <c r="K154" i="1" a="1"/>
  <c r="J154" i="1"/>
  <c r="I154" i="1"/>
  <c r="L153" i="1"/>
  <c r="K153" i="1"/>
  <c r="K153" i="1" a="1"/>
  <c r="J153" i="1"/>
  <c r="I153" i="1"/>
  <c r="L152" i="1"/>
  <c r="K152" i="1" a="1"/>
  <c r="K152" i="1" s="1"/>
  <c r="J152" i="1"/>
  <c r="I152" i="1"/>
  <c r="L151" i="1"/>
  <c r="K151" i="1" a="1"/>
  <c r="K151" i="1" s="1"/>
  <c r="J151" i="1"/>
  <c r="I151" i="1"/>
  <c r="L150" i="1"/>
  <c r="K150" i="1" a="1"/>
  <c r="K150" i="1" s="1"/>
  <c r="J150" i="1"/>
  <c r="I150" i="1"/>
  <c r="L149" i="1"/>
  <c r="K149" i="1" a="1"/>
  <c r="K149" i="1" s="1"/>
  <c r="J149" i="1"/>
  <c r="I149" i="1"/>
  <c r="L148" i="1"/>
  <c r="K148" i="1"/>
  <c r="K148" i="1" a="1"/>
  <c r="J148" i="1"/>
  <c r="I148" i="1"/>
  <c r="L147" i="1"/>
  <c r="K147" i="1" a="1"/>
  <c r="K147" i="1" s="1"/>
  <c r="J147" i="1"/>
  <c r="I147" i="1"/>
  <c r="L146" i="1"/>
  <c r="K146" i="1" a="1"/>
  <c r="K146" i="1" s="1"/>
  <c r="J146" i="1"/>
  <c r="I146" i="1"/>
  <c r="L145" i="1"/>
  <c r="K145" i="1"/>
  <c r="K145" i="1" a="1"/>
  <c r="J145" i="1"/>
  <c r="I145" i="1"/>
  <c r="L144" i="1"/>
  <c r="K144" i="1" a="1"/>
  <c r="K144" i="1" s="1"/>
  <c r="J144" i="1"/>
  <c r="I144" i="1"/>
  <c r="L143" i="1"/>
  <c r="K143" i="1" a="1"/>
  <c r="K143" i="1" s="1"/>
  <c r="J143" i="1"/>
  <c r="I143" i="1"/>
  <c r="L142" i="1"/>
  <c r="K142" i="1"/>
  <c r="K142" i="1" a="1"/>
  <c r="J142" i="1"/>
  <c r="I142" i="1"/>
  <c r="L141" i="1"/>
  <c r="K141" i="1"/>
  <c r="K141" i="1" a="1"/>
  <c r="J141" i="1"/>
  <c r="I141" i="1"/>
  <c r="L140" i="1"/>
  <c r="K140" i="1"/>
  <c r="K140" i="1" a="1"/>
  <c r="J140" i="1"/>
  <c r="I140" i="1"/>
  <c r="L139" i="1"/>
  <c r="K139" i="1" a="1"/>
  <c r="K139" i="1" s="1"/>
  <c r="J139" i="1"/>
  <c r="I139" i="1"/>
  <c r="L138" i="1"/>
  <c r="K138" i="1" a="1"/>
  <c r="K138" i="1" s="1"/>
  <c r="J138" i="1"/>
  <c r="I138" i="1"/>
  <c r="L137" i="1"/>
  <c r="K137" i="1" a="1"/>
  <c r="K137" i="1" s="1"/>
  <c r="J137" i="1"/>
  <c r="I137" i="1"/>
  <c r="L136" i="1"/>
  <c r="K136" i="1"/>
  <c r="K136" i="1" a="1"/>
  <c r="J136" i="1"/>
  <c r="I136" i="1"/>
  <c r="L135" i="1"/>
  <c r="K135" i="1"/>
  <c r="K135" i="1" a="1"/>
  <c r="J135" i="1"/>
  <c r="I135" i="1"/>
  <c r="L134" i="1"/>
  <c r="K134" i="1" a="1"/>
  <c r="K134" i="1" s="1"/>
  <c r="J134" i="1"/>
  <c r="I134" i="1"/>
  <c r="L133" i="1"/>
  <c r="K133" i="1" a="1"/>
  <c r="K133" i="1" s="1"/>
  <c r="J133" i="1"/>
  <c r="I133" i="1"/>
  <c r="L132" i="1"/>
  <c r="K132" i="1" a="1"/>
  <c r="K132" i="1" s="1"/>
  <c r="J132" i="1"/>
  <c r="I132" i="1"/>
  <c r="L131" i="1"/>
  <c r="K131" i="1" a="1"/>
  <c r="K131" i="1" s="1"/>
  <c r="J131" i="1"/>
  <c r="I131" i="1"/>
  <c r="L130" i="1"/>
  <c r="K130" i="1"/>
  <c r="K130" i="1" a="1"/>
  <c r="J130" i="1"/>
  <c r="I130" i="1"/>
  <c r="L129" i="1"/>
  <c r="K129" i="1"/>
  <c r="K129" i="1" a="1"/>
  <c r="J129" i="1"/>
  <c r="I129" i="1"/>
  <c r="L128" i="1"/>
  <c r="K128" i="1" a="1"/>
  <c r="K128" i="1" s="1"/>
  <c r="J128" i="1"/>
  <c r="I128" i="1"/>
  <c r="L127" i="1"/>
  <c r="K127" i="1" a="1"/>
  <c r="K127" i="1" s="1"/>
  <c r="J127" i="1"/>
  <c r="I127" i="1"/>
  <c r="L126" i="1"/>
  <c r="K126" i="1" a="1"/>
  <c r="K126" i="1" s="1"/>
  <c r="J126" i="1"/>
  <c r="I126" i="1"/>
  <c r="L125" i="1"/>
  <c r="K125" i="1" a="1"/>
  <c r="K125" i="1" s="1"/>
  <c r="J125" i="1"/>
  <c r="I125" i="1"/>
  <c r="L124" i="1"/>
  <c r="K124" i="1"/>
  <c r="K124" i="1" a="1"/>
  <c r="J124" i="1"/>
  <c r="I124" i="1"/>
  <c r="L123" i="1"/>
  <c r="K123" i="1" a="1"/>
  <c r="K123" i="1" s="1"/>
  <c r="J123" i="1"/>
  <c r="I123" i="1"/>
  <c r="L122" i="1"/>
  <c r="K122" i="1" a="1"/>
  <c r="K122" i="1" s="1"/>
  <c r="J122" i="1"/>
  <c r="I122" i="1"/>
  <c r="L121" i="1"/>
  <c r="K121" i="1"/>
  <c r="K121" i="1" a="1"/>
  <c r="J121" i="1"/>
  <c r="I121" i="1"/>
  <c r="L120" i="1"/>
  <c r="K120" i="1"/>
  <c r="K120" i="1" a="1"/>
  <c r="J120" i="1"/>
  <c r="I120" i="1"/>
  <c r="L119" i="1"/>
  <c r="K119" i="1" a="1"/>
  <c r="K119" i="1" s="1"/>
  <c r="J119" i="1"/>
  <c r="I119" i="1"/>
  <c r="L118" i="1"/>
  <c r="K118" i="1"/>
  <c r="K118" i="1" a="1"/>
  <c r="J118" i="1"/>
  <c r="I118" i="1"/>
  <c r="L117" i="1"/>
  <c r="K117" i="1"/>
  <c r="K117" i="1" a="1"/>
  <c r="J117" i="1"/>
  <c r="I117" i="1"/>
  <c r="L116" i="1"/>
  <c r="K116" i="1"/>
  <c r="K116" i="1" a="1"/>
  <c r="J116" i="1"/>
  <c r="I116" i="1"/>
  <c r="L115" i="1"/>
  <c r="K115" i="1"/>
  <c r="K115" i="1" a="1"/>
  <c r="J115" i="1"/>
  <c r="I115" i="1"/>
  <c r="L114" i="1"/>
  <c r="K114" i="1" a="1"/>
  <c r="K114" i="1" s="1"/>
  <c r="J114" i="1"/>
  <c r="I114" i="1"/>
  <c r="L113" i="1"/>
  <c r="K113" i="1" a="1"/>
  <c r="K113" i="1" s="1"/>
  <c r="J113" i="1"/>
  <c r="I113" i="1"/>
  <c r="L112" i="1"/>
  <c r="K112" i="1"/>
  <c r="K112" i="1" a="1"/>
  <c r="J112" i="1"/>
  <c r="I112" i="1"/>
  <c r="L111" i="1"/>
  <c r="K111" i="1" a="1"/>
  <c r="K111" i="1" s="1"/>
  <c r="J111" i="1"/>
  <c r="I111" i="1"/>
  <c r="L110" i="1"/>
  <c r="K110" i="1"/>
  <c r="K110" i="1" a="1"/>
  <c r="J110" i="1"/>
  <c r="I110" i="1"/>
  <c r="L109" i="1"/>
  <c r="K109" i="1" a="1"/>
  <c r="K109" i="1" s="1"/>
  <c r="J109" i="1"/>
  <c r="I109" i="1"/>
  <c r="L108" i="1"/>
  <c r="K108" i="1" a="1"/>
  <c r="K108" i="1" s="1"/>
  <c r="J108" i="1"/>
  <c r="I108" i="1"/>
  <c r="L107" i="1"/>
  <c r="K107" i="1" a="1"/>
  <c r="K107" i="1" s="1"/>
  <c r="J107" i="1"/>
  <c r="I107" i="1"/>
  <c r="L106" i="1"/>
  <c r="K106" i="1"/>
  <c r="K106" i="1" a="1"/>
  <c r="J106" i="1"/>
  <c r="I106" i="1"/>
  <c r="L105" i="1"/>
  <c r="K105" i="1"/>
  <c r="K105" i="1" a="1"/>
  <c r="J105" i="1"/>
  <c r="I105" i="1"/>
  <c r="L104" i="1"/>
  <c r="K104" i="1" a="1"/>
  <c r="K104" i="1" s="1"/>
  <c r="J104" i="1"/>
  <c r="I104" i="1"/>
  <c r="L103" i="1"/>
  <c r="K103" i="1"/>
  <c r="K103" i="1" a="1"/>
  <c r="J103" i="1"/>
  <c r="I103" i="1"/>
  <c r="L102" i="1"/>
  <c r="K102" i="1" a="1"/>
  <c r="K102" i="1" s="1"/>
  <c r="J102" i="1"/>
  <c r="I102" i="1"/>
  <c r="L101" i="1"/>
  <c r="K101" i="1" a="1"/>
  <c r="K101" i="1" s="1"/>
  <c r="J101" i="1"/>
  <c r="I101" i="1"/>
  <c r="L100" i="1"/>
  <c r="K100" i="1"/>
  <c r="K100" i="1" a="1"/>
  <c r="J100" i="1"/>
  <c r="I100" i="1"/>
  <c r="L99" i="1"/>
  <c r="K99" i="1" a="1"/>
  <c r="K99" i="1" s="1"/>
  <c r="J99" i="1"/>
  <c r="I99" i="1"/>
  <c r="L98" i="1"/>
  <c r="K98" i="1" a="1"/>
  <c r="K98" i="1" s="1"/>
  <c r="J98" i="1"/>
  <c r="I98" i="1"/>
  <c r="L97" i="1"/>
  <c r="K97" i="1"/>
  <c r="K97" i="1" a="1"/>
  <c r="J97" i="1"/>
  <c r="I97" i="1"/>
  <c r="L96" i="1"/>
  <c r="K96" i="1" a="1"/>
  <c r="K96" i="1" s="1"/>
  <c r="J96" i="1"/>
  <c r="I96" i="1"/>
  <c r="L95" i="1"/>
  <c r="K95" i="1" a="1"/>
  <c r="K95" i="1" s="1"/>
  <c r="J95" i="1"/>
  <c r="I95" i="1"/>
  <c r="L94" i="1"/>
  <c r="K94" i="1"/>
  <c r="K94" i="1" a="1"/>
  <c r="J94" i="1"/>
  <c r="I94" i="1"/>
  <c r="L93" i="1"/>
  <c r="K93" i="1" a="1"/>
  <c r="K93" i="1" s="1"/>
  <c r="J93" i="1"/>
  <c r="I93" i="1"/>
  <c r="L92" i="1"/>
  <c r="K92" i="1"/>
  <c r="K92" i="1" a="1"/>
  <c r="J92" i="1"/>
  <c r="I92" i="1"/>
  <c r="L91" i="1"/>
  <c r="K91" i="1" a="1"/>
  <c r="K91" i="1" s="1"/>
  <c r="J91" i="1"/>
  <c r="I91" i="1"/>
  <c r="L90" i="1"/>
  <c r="K90" i="1" a="1"/>
  <c r="K90" i="1" s="1"/>
  <c r="J90" i="1"/>
  <c r="I90" i="1"/>
  <c r="L89" i="1"/>
  <c r="K89" i="1" a="1"/>
  <c r="K89" i="1" s="1"/>
  <c r="J89" i="1"/>
  <c r="I89" i="1"/>
  <c r="L88" i="1"/>
  <c r="K88" i="1"/>
  <c r="K88" i="1" a="1"/>
  <c r="J88" i="1"/>
  <c r="I88" i="1"/>
  <c r="L87" i="1"/>
  <c r="K87" i="1"/>
  <c r="K87" i="1" a="1"/>
  <c r="J87" i="1"/>
  <c r="I87" i="1"/>
  <c r="L86" i="1"/>
  <c r="K86" i="1" a="1"/>
  <c r="K86" i="1" s="1"/>
  <c r="J86" i="1"/>
  <c r="I86" i="1"/>
  <c r="L85" i="1"/>
  <c r="K85" i="1" a="1"/>
  <c r="K85" i="1" s="1"/>
  <c r="J85" i="1"/>
  <c r="I85" i="1"/>
  <c r="L84" i="1"/>
  <c r="K84" i="1" a="1"/>
  <c r="K84" i="1" s="1"/>
  <c r="J84" i="1"/>
  <c r="I84" i="1"/>
  <c r="L83" i="1"/>
  <c r="K83" i="1" a="1"/>
  <c r="K83" i="1" s="1"/>
  <c r="J83" i="1"/>
  <c r="I83" i="1"/>
  <c r="L82" i="1"/>
  <c r="K82" i="1"/>
  <c r="K82" i="1" a="1"/>
  <c r="J82" i="1"/>
  <c r="I82" i="1"/>
  <c r="L81" i="1"/>
  <c r="K81" i="1" a="1"/>
  <c r="K81" i="1" s="1"/>
  <c r="J81" i="1"/>
  <c r="I81" i="1"/>
  <c r="L80" i="1"/>
  <c r="K80" i="1" a="1"/>
  <c r="K80" i="1" s="1"/>
  <c r="J80" i="1"/>
  <c r="I80" i="1"/>
  <c r="L79" i="1"/>
  <c r="K79" i="1" a="1"/>
  <c r="K79" i="1" s="1"/>
  <c r="J79" i="1"/>
  <c r="I79" i="1"/>
  <c r="L78" i="1"/>
  <c r="K78" i="1" a="1"/>
  <c r="K78" i="1" s="1"/>
  <c r="J78" i="1"/>
  <c r="I78" i="1"/>
  <c r="L77" i="1"/>
  <c r="K77" i="1" a="1"/>
  <c r="K77" i="1" s="1"/>
  <c r="J77" i="1"/>
  <c r="I77" i="1"/>
  <c r="L76" i="1"/>
  <c r="K76" i="1"/>
  <c r="K76" i="1" a="1"/>
  <c r="J76" i="1"/>
  <c r="I76" i="1"/>
  <c r="L75" i="1"/>
  <c r="K75" i="1" a="1"/>
  <c r="K75" i="1" s="1"/>
  <c r="J75" i="1"/>
  <c r="I75" i="1"/>
  <c r="L74" i="1"/>
  <c r="K74" i="1" a="1"/>
  <c r="K74" i="1" s="1"/>
  <c r="J74" i="1"/>
  <c r="I74" i="1"/>
  <c r="L73" i="1"/>
  <c r="K73" i="1" a="1"/>
  <c r="K73" i="1" s="1"/>
  <c r="J73" i="1"/>
  <c r="I73" i="1"/>
  <c r="L72" i="1"/>
  <c r="K72" i="1"/>
  <c r="K72" i="1" a="1"/>
  <c r="J72" i="1"/>
  <c r="I72" i="1"/>
  <c r="L71" i="1"/>
  <c r="K71" i="1" a="1"/>
  <c r="K71" i="1" s="1"/>
  <c r="J71" i="1"/>
  <c r="I71" i="1"/>
  <c r="L70" i="1"/>
  <c r="K70" i="1"/>
  <c r="K70" i="1" a="1"/>
  <c r="J70" i="1"/>
  <c r="I70" i="1"/>
  <c r="L69" i="1"/>
  <c r="K69" i="1" a="1"/>
  <c r="K69" i="1" s="1"/>
  <c r="J69" i="1"/>
  <c r="I69" i="1"/>
  <c r="L68" i="1"/>
  <c r="K68" i="1" a="1"/>
  <c r="K68" i="1" s="1"/>
  <c r="J68" i="1"/>
  <c r="I68" i="1"/>
  <c r="L67" i="1"/>
  <c r="K67" i="1"/>
  <c r="K67" i="1" a="1"/>
  <c r="J67" i="1"/>
  <c r="I67" i="1"/>
  <c r="L66" i="1"/>
  <c r="K66" i="1" a="1"/>
  <c r="K66" i="1" s="1"/>
  <c r="J66" i="1"/>
  <c r="I66" i="1"/>
  <c r="L65" i="1"/>
  <c r="K65" i="1" a="1"/>
  <c r="K65" i="1" s="1"/>
  <c r="J65" i="1"/>
  <c r="I65" i="1"/>
  <c r="L64" i="1"/>
  <c r="K64" i="1"/>
  <c r="K64" i="1" a="1"/>
  <c r="J64" i="1"/>
  <c r="I64" i="1"/>
  <c r="L63" i="1"/>
  <c r="K63" i="1"/>
  <c r="K63" i="1" a="1"/>
  <c r="J63" i="1"/>
  <c r="I63" i="1"/>
  <c r="L62" i="1"/>
  <c r="K62" i="1"/>
  <c r="K62" i="1" a="1"/>
  <c r="J62" i="1"/>
  <c r="I62" i="1"/>
  <c r="L61" i="1"/>
  <c r="K61" i="1" a="1"/>
  <c r="K61" i="1" s="1"/>
  <c r="J61" i="1"/>
  <c r="I61" i="1"/>
  <c r="L60" i="1"/>
  <c r="K60" i="1" a="1"/>
  <c r="K60" i="1" s="1"/>
  <c r="J60" i="1"/>
  <c r="I60" i="1"/>
  <c r="L59" i="1"/>
  <c r="K59" i="1" a="1"/>
  <c r="K59" i="1" s="1"/>
  <c r="J59" i="1"/>
  <c r="I59" i="1"/>
  <c r="L58" i="1"/>
  <c r="K58" i="1"/>
  <c r="K58" i="1" a="1"/>
  <c r="J58" i="1"/>
  <c r="I58" i="1"/>
  <c r="L57" i="1"/>
  <c r="K57" i="1"/>
  <c r="K57" i="1" a="1"/>
  <c r="J57" i="1"/>
  <c r="I57" i="1"/>
  <c r="L56" i="1"/>
  <c r="K56" i="1" a="1"/>
  <c r="K56" i="1" s="1"/>
  <c r="J56" i="1"/>
  <c r="I56" i="1"/>
  <c r="L55" i="1"/>
  <c r="K55" i="1" a="1"/>
  <c r="K55" i="1" s="1"/>
  <c r="J55" i="1"/>
  <c r="I55" i="1"/>
  <c r="L54" i="1"/>
  <c r="K54" i="1" a="1"/>
  <c r="K54" i="1" s="1"/>
  <c r="J54" i="1"/>
  <c r="I54" i="1"/>
  <c r="L53" i="1"/>
  <c r="K53" i="1" a="1"/>
  <c r="K53" i="1" s="1"/>
  <c r="J53" i="1"/>
  <c r="I53" i="1"/>
  <c r="L52" i="1"/>
  <c r="K52" i="1"/>
  <c r="K52" i="1" a="1"/>
  <c r="J52" i="1"/>
  <c r="I52" i="1"/>
  <c r="L51" i="1"/>
  <c r="K51" i="1" a="1"/>
  <c r="K51" i="1" s="1"/>
  <c r="J51" i="1"/>
  <c r="I51" i="1"/>
  <c r="L50" i="1"/>
  <c r="K50" i="1" a="1"/>
  <c r="K50" i="1" s="1"/>
  <c r="J50" i="1"/>
  <c r="I50" i="1"/>
  <c r="L49" i="1"/>
  <c r="K49" i="1"/>
  <c r="K49" i="1" a="1"/>
  <c r="J49" i="1"/>
  <c r="I49" i="1"/>
  <c r="L48" i="1"/>
  <c r="K48" i="1" a="1"/>
  <c r="K48" i="1" s="1"/>
  <c r="J48" i="1"/>
  <c r="I48" i="1"/>
  <c r="L47" i="1"/>
  <c r="K47" i="1" a="1"/>
  <c r="K47" i="1" s="1"/>
  <c r="J47" i="1"/>
  <c r="I47" i="1"/>
  <c r="L46" i="1"/>
  <c r="K46" i="1"/>
  <c r="K46" i="1" a="1"/>
  <c r="J46" i="1"/>
  <c r="I46" i="1"/>
  <c r="L45" i="1"/>
  <c r="K45" i="1" a="1"/>
  <c r="K45" i="1" s="1"/>
  <c r="J45" i="1"/>
  <c r="I45" i="1"/>
  <c r="L44" i="1"/>
  <c r="K44" i="1"/>
  <c r="K44" i="1" a="1"/>
  <c r="J44" i="1"/>
  <c r="I44" i="1"/>
  <c r="L43" i="1"/>
  <c r="K43" i="1" a="1"/>
  <c r="K43" i="1" s="1"/>
  <c r="J43" i="1"/>
  <c r="I43" i="1"/>
  <c r="L42" i="1"/>
  <c r="K42" i="1" a="1"/>
  <c r="K42" i="1" s="1"/>
  <c r="J42" i="1"/>
  <c r="I42" i="1"/>
  <c r="L41" i="1"/>
  <c r="K41" i="1" a="1"/>
  <c r="K41" i="1" s="1"/>
  <c r="J41" i="1"/>
  <c r="I41" i="1"/>
  <c r="L40" i="1"/>
  <c r="K40" i="1"/>
  <c r="K40" i="1" a="1"/>
  <c r="J40" i="1"/>
  <c r="I40" i="1"/>
  <c r="L39" i="1"/>
  <c r="K39" i="1"/>
  <c r="K39" i="1" a="1"/>
  <c r="J39" i="1"/>
  <c r="I39" i="1"/>
  <c r="L38" i="1"/>
  <c r="K38" i="1" a="1"/>
  <c r="K38" i="1" s="1"/>
  <c r="J38" i="1"/>
  <c r="I38" i="1"/>
  <c r="L37" i="1"/>
  <c r="K37" i="1"/>
  <c r="K37" i="1" a="1"/>
  <c r="J37" i="1"/>
  <c r="I37" i="1"/>
  <c r="L36" i="1"/>
  <c r="K36" i="1" a="1"/>
  <c r="K36" i="1" s="1"/>
  <c r="J36" i="1"/>
  <c r="I36" i="1"/>
  <c r="L35" i="1"/>
  <c r="K35" i="1" a="1"/>
  <c r="K35" i="1" s="1"/>
  <c r="J35" i="1"/>
  <c r="I35" i="1"/>
  <c r="L34" i="1"/>
  <c r="K34" i="1"/>
  <c r="K34" i="1" a="1"/>
  <c r="J34" i="1"/>
  <c r="I34" i="1"/>
  <c r="L33" i="1"/>
  <c r="K33" i="1" a="1"/>
  <c r="K33" i="1" s="1"/>
  <c r="J33" i="1"/>
  <c r="I33" i="1"/>
  <c r="L32" i="1"/>
  <c r="K32" i="1"/>
  <c r="K32" i="1" a="1"/>
  <c r="J32" i="1"/>
  <c r="I32" i="1"/>
  <c r="L31" i="1"/>
  <c r="K31" i="1" a="1"/>
  <c r="K31" i="1" s="1"/>
  <c r="J31" i="1"/>
  <c r="I31" i="1"/>
  <c r="L30" i="1"/>
  <c r="K30" i="1" a="1"/>
  <c r="K30" i="1" s="1"/>
  <c r="J30" i="1"/>
  <c r="I30" i="1"/>
  <c r="L29" i="1"/>
  <c r="K29" i="1" a="1"/>
  <c r="K29" i="1" s="1"/>
  <c r="J29" i="1"/>
  <c r="I29" i="1"/>
  <c r="L28" i="1"/>
  <c r="K28" i="1"/>
  <c r="K28" i="1" a="1"/>
  <c r="J28" i="1"/>
  <c r="I28" i="1"/>
  <c r="L27" i="1"/>
  <c r="K27" i="1" a="1"/>
  <c r="K27" i="1" s="1"/>
  <c r="J27" i="1"/>
  <c r="I27" i="1"/>
  <c r="L26" i="1"/>
  <c r="K26" i="1" a="1"/>
  <c r="K26" i="1" s="1"/>
  <c r="J26" i="1"/>
  <c r="I26" i="1"/>
  <c r="L25" i="1"/>
  <c r="K25" i="1" a="1"/>
  <c r="K25" i="1" s="1"/>
  <c r="J25" i="1"/>
  <c r="I25" i="1"/>
  <c r="L24" i="1"/>
  <c r="K24" i="1"/>
  <c r="K24" i="1" a="1"/>
  <c r="J24" i="1"/>
  <c r="I24" i="1"/>
  <c r="L23" i="1"/>
  <c r="K23" i="1" a="1"/>
  <c r="K23" i="1" s="1"/>
  <c r="J23" i="1"/>
  <c r="I23" i="1"/>
  <c r="L22" i="1"/>
  <c r="K22" i="1"/>
  <c r="K22" i="1" a="1"/>
  <c r="J22" i="1"/>
  <c r="I22" i="1"/>
  <c r="L21" i="1"/>
  <c r="K21" i="1" a="1"/>
  <c r="K21" i="1" s="1"/>
  <c r="J21" i="1"/>
  <c r="I21" i="1"/>
  <c r="L20" i="1"/>
  <c r="K20" i="1" a="1"/>
  <c r="K20" i="1" s="1"/>
  <c r="J20" i="1"/>
  <c r="I20" i="1"/>
  <c r="L19" i="1"/>
  <c r="K19" i="1"/>
  <c r="K19" i="1" a="1"/>
  <c r="J19" i="1"/>
  <c r="I19" i="1"/>
  <c r="L18" i="1"/>
  <c r="K18" i="1" a="1"/>
  <c r="K18" i="1" s="1"/>
  <c r="J18" i="1"/>
  <c r="I18" i="1"/>
  <c r="L17" i="1"/>
  <c r="K17" i="1" a="1"/>
  <c r="K17" i="1" s="1"/>
  <c r="J17" i="1"/>
  <c r="I17" i="1"/>
  <c r="L16" i="1"/>
  <c r="K16" i="1"/>
  <c r="K16" i="1" a="1"/>
  <c r="J16" i="1"/>
  <c r="I16" i="1"/>
  <c r="L15" i="1"/>
  <c r="K15" i="1" a="1"/>
  <c r="K15" i="1" s="1"/>
  <c r="J15" i="1"/>
  <c r="I15" i="1"/>
  <c r="L14" i="1"/>
  <c r="K14" i="1"/>
  <c r="K14" i="1" a="1"/>
  <c r="J14" i="1"/>
  <c r="I14" i="1"/>
  <c r="L13" i="1"/>
  <c r="K13" i="1" a="1"/>
  <c r="K13" i="1" s="1"/>
  <c r="J13" i="1"/>
  <c r="I13" i="1"/>
  <c r="L12" i="1"/>
  <c r="K12" i="1" a="1"/>
  <c r="K12" i="1" s="1"/>
  <c r="J12" i="1"/>
  <c r="I12" i="1"/>
  <c r="L11" i="1"/>
  <c r="K11" i="1" a="1"/>
  <c r="K11" i="1" s="1"/>
  <c r="J11" i="1"/>
  <c r="I11" i="1"/>
  <c r="L10" i="1"/>
  <c r="K10" i="1"/>
  <c r="K10" i="1" a="1"/>
  <c r="J10" i="1"/>
  <c r="I10" i="1"/>
  <c r="L9" i="1"/>
  <c r="K9" i="1"/>
  <c r="K9" i="1" a="1"/>
  <c r="J9" i="1"/>
  <c r="I9" i="1"/>
  <c r="L8" i="1"/>
  <c r="K8" i="1" a="1"/>
  <c r="K8" i="1" s="1"/>
  <c r="J8" i="1"/>
  <c r="I8" i="1"/>
  <c r="L7" i="1"/>
  <c r="K7" i="1" a="1"/>
  <c r="K7" i="1" s="1"/>
  <c r="J7" i="1"/>
  <c r="I7" i="1"/>
  <c r="L6" i="1"/>
  <c r="K6" i="1" a="1"/>
  <c r="K6" i="1" s="1"/>
  <c r="J6" i="1"/>
  <c r="I6" i="1"/>
  <c r="L5" i="1"/>
  <c r="K5" i="1" a="1"/>
  <c r="K5" i="1" s="1"/>
  <c r="J5" i="1"/>
  <c r="I5" i="1"/>
  <c r="L4" i="1"/>
  <c r="K4" i="1"/>
  <c r="K4" i="1" a="1"/>
  <c r="J4" i="1"/>
  <c r="I4" i="1"/>
  <c r="I60" i="3" l="1"/>
  <c r="J59" i="3"/>
  <c r="J58" i="3"/>
  <c r="J60" i="3"/>
  <c r="J57" i="3"/>
  <c r="J56" i="3"/>
  <c r="I59" i="3"/>
  <c r="I58" i="3"/>
  <c r="I57" i="3"/>
  <c r="I5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821DE-E746-4092-9E5C-95944EAEBF8D}" keepAlive="1" name="ModelConnection_ExternalData_1" description="Data Model" type="5" refreshedVersion="8" minRefreshableVersion="5" saveData="1">
    <dbPr connection="Data Model Connection" command="DRILLTHROUGH MAXROWS 1000 SELECT FROM [Model] WHERE (([calls].[Representative].&amp;[R01],[Measures].[call count],[calls].[Date of Call (Month)].&amp;[Jan]))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22F4E98E-0AA6-4B85-A6C4-61E5BD3320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17CB64C-05E6-48B2-AA67-C5FDA2A96777}" name="WorksheetConnection_PROJECT.xlsx!calls" type="102" refreshedVersion="8" minRefreshableVersion="5">
    <extLst>
      <ext xmlns:x15="http://schemas.microsoft.com/office/spreadsheetml/2010/11/main" uri="{DE250136-89BD-433C-8126-D09CA5730AF9}">
        <x15:connection id="calls" autoDelete="1">
          <x15:rangePr sourceName="_xlcn.WorksheetConnection_PROJECT.xlsxcalls1"/>
        </x15:connection>
      </ext>
    </extLst>
  </connection>
  <connection id="4" xr16:uid="{1E7AD58B-0832-4C42-929A-B7E6C8A9E32F}" name="WorksheetConnection_PROJECT.xlsx!customers" type="102" refreshedVersion="8" minRefreshableVersion="5">
    <extLst>
      <ext xmlns:x15="http://schemas.microsoft.com/office/spreadsheetml/2010/11/main" uri="{DE250136-89BD-433C-8126-D09CA5730AF9}">
        <x15:connection id="customers">
          <x15:rangePr sourceName="_xlcn.WorksheetConnection_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<sst xmlns="http://schemas.openxmlformats.org/spreadsheetml/2006/main" count="3266" uniqueCount="1094">
  <si>
    <t>Call Centre Data</t>
  </si>
  <si>
    <t>Call number</t>
  </si>
  <si>
    <t>Customer ID</t>
  </si>
  <si>
    <t>Duration</t>
  </si>
  <si>
    <t>Representative</t>
  </si>
  <si>
    <t>Date of Call</t>
  </si>
  <si>
    <t>Purchase Amount</t>
  </si>
  <si>
    <t>Satisfaction Rating</t>
  </si>
  <si>
    <t>FY</t>
  </si>
  <si>
    <t>Day of week</t>
  </si>
  <si>
    <t>Duration Bucket</t>
  </si>
  <si>
    <t>Rating rounded</t>
  </si>
  <si>
    <t>Gedner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</si>
  <si>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</si>
  <si>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</si>
  <si>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</si>
  <si>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</si>
  <si>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</si>
  <si>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</si>
  <si>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</si>
  <si>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</si>
  <si>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</si>
  <si>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</si>
  <si>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</si>
  <si>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</si>
  <si>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</si>
  <si>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</si>
  <si>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</si>
  <si>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</si>
  <si>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</si>
  <si>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</si>
  <si>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</si>
  <si>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</si>
  <si>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</si>
  <si>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</si>
  <si>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</si>
  <si>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</si>
  <si>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</si>
  <si>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</si>
  <si>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</si>
  <si>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</si>
  <si>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</si>
  <si>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</si>
  <si>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</si>
  <si>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</si>
  <si>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</si>
  <si>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</si>
  <si>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</si>
  <si>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</si>
  <si>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</si>
  <si>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</si>
  <si>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</si>
  <si>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</si>
  <si>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</si>
  <si>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</si>
  <si>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</si>
  <si>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</si>
  <si>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</si>
  <si>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</si>
  <si>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</si>
  <si>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</si>
  <si>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</si>
  <si>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</si>
  <si>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</si>
  <si>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</si>
  <si>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</si>
  <si>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</si>
  <si>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</si>
  <si>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</si>
  <si>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</si>
  <si>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</si>
  <si>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</si>
  <si>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</si>
  <si>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</si>
  <si>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</si>
  <si>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</si>
  <si>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</si>
  <si>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</si>
  <si>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</si>
  <si>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</si>
  <si>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</si>
  <si>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</si>
  <si>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</si>
  <si>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</si>
  <si>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</si>
  <si>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</si>
  <si>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</si>
  <si>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</si>
  <si>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</si>
  <si>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</si>
  <si>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</si>
  <si>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</si>
  <si>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</si>
  <si>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</si>
  <si>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</si>
  <si>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</si>
  <si>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</si>
  <si>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</si>
  <si>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</si>
  <si>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</si>
  <si>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</si>
  <si>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</si>
  <si>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</si>
  <si>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</si>
  <si>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</si>
  <si>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</si>
  <si>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</si>
  <si>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</si>
  <si>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</si>
  <si>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</si>
  <si>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</si>
  <si>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</si>
  <si>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</si>
  <si>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</si>
  <si>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</si>
  <si>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</si>
  <si>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</si>
  <si>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</si>
  <si>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</si>
  <si>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</si>
  <si>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</si>
  <si>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</si>
  <si>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</si>
  <si>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</si>
  <si>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</si>
  <si>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</si>
  <si>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</si>
  <si>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</si>
  <si>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</si>
  <si>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</si>
  <si>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</si>
  <si>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</si>
  <si>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</si>
  <si>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</si>
  <si>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</si>
  <si>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</si>
  <si>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</si>
  <si>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</si>
  <si>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</si>
  <si>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</si>
  <si>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</si>
  <si>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</si>
  <si>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</si>
  <si>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</si>
  <si>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</si>
  <si>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</si>
  <si>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</si>
  <si>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</si>
  <si>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</si>
  <si>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</si>
  <si>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</si>
  <si>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</si>
  <si>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</si>
  <si>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</si>
  <si>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</si>
  <si>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</si>
  <si>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</si>
  <si>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</si>
  <si>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</si>
  <si>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</si>
  <si>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</si>
  <si>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</si>
  <si>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</si>
  <si>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</si>
  <si>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</si>
  <si>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</si>
  <si>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</si>
  <si>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</si>
  <si>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</si>
  <si>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</si>
  <si>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</si>
  <si>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</si>
  <si>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</si>
  <si>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</si>
  <si>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</si>
  <si>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</si>
  <si>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</si>
  <si>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</si>
  <si>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</si>
  <si>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</si>
  <si>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</si>
  <si>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</si>
  <si>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</si>
  <si>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</si>
  <si>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</si>
  <si>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</si>
  <si>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</si>
  <si>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</si>
  <si>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</si>
  <si>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</si>
  <si>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</si>
  <si>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</si>
  <si>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</si>
  <si>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</si>
  <si>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</si>
  <si>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</si>
  <si>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</si>
  <si>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</si>
  <si>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</si>
  <si>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</si>
  <si>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</si>
  <si>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</si>
  <si>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</si>
  <si>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</si>
  <si>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</si>
  <si>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</si>
  <si>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</si>
  <si>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</si>
  <si>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</si>
  <si>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</si>
  <si>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</si>
  <si>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</si>
  <si>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</si>
  <si>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</si>
  <si>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</si>
  <si>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</si>
  <si>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</si>
  <si>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</si>
  <si>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</si>
  <si>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</si>
  <si>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</si>
  <si>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</si>
  <si>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</si>
  <si>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</si>
  <si>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</si>
  <si>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</si>
  <si>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</si>
  <si>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</si>
  <si>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</si>
  <si>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</si>
  <si>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</si>
  <si>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</si>
  <si>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</si>
  <si>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</si>
  <si>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</si>
  <si>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</si>
  <si>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</si>
  <si>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</si>
  <si>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</si>
  <si>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</si>
  <si>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</si>
  <si>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</si>
  <si>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</si>
  <si>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</si>
  <si>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</si>
  <si>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</si>
  <si>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</si>
  <si>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</si>
  <si>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</si>
  <si>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</si>
  <si>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</si>
  <si>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</si>
  <si>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</si>
  <si>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</si>
  <si>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</si>
  <si>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</si>
  <si>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</si>
  <si>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</si>
  <si>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</si>
  <si>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</si>
  <si>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</si>
  <si>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</si>
  <si>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</si>
  <si>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</si>
  <si>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</si>
  <si>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</si>
  <si>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</si>
  <si>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</si>
  <si>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</si>
  <si>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</si>
  <si>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</si>
  <si>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</si>
  <si>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</si>
  <si>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</si>
  <si>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</si>
  <si>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</si>
  <si>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</si>
  <si>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</si>
  <si>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</si>
  <si>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</si>
  <si>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</si>
  <si>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</si>
  <si>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</si>
  <si>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</si>
  <si>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</si>
  <si>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</si>
  <si>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</si>
  <si>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</si>
  <si>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</si>
  <si>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</si>
  <si>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</si>
  <si>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</si>
  <si>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</si>
  <si>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</si>
  <si>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</si>
  <si>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</si>
  <si>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</si>
  <si>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</si>
  <si>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</si>
  <si>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</si>
  <si>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</si>
  <si>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</si>
  <si>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</si>
  <si>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</si>
  <si>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</si>
  <si>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</si>
  <si>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</si>
  <si>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</si>
  <si>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</si>
  <si>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</si>
  <si>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</si>
  <si>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</si>
  <si>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</si>
  <si>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</si>
  <si>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</si>
  <si>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</si>
  <si>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</si>
  <si>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</si>
  <si>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</si>
  <si>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</si>
  <si>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</si>
  <si>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</si>
  <si>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</si>
  <si>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</si>
  <si>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</si>
  <si>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</si>
  <si>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</si>
  <si>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</si>
  <si>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</si>
  <si>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</si>
  <si>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</si>
  <si>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</si>
  <si>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</si>
  <si>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</si>
  <si>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</si>
  <si>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</si>
  <si>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</si>
  <si>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</si>
  <si>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</si>
  <si>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</si>
  <si>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</si>
  <si>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</si>
  <si>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</si>
  <si>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</si>
  <si>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</si>
  <si>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</si>
  <si>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</si>
  <si>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</si>
  <si>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</si>
  <si>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</si>
  <si>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</si>
  <si>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</si>
  <si>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</si>
  <si>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</si>
  <si>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</si>
  <si>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</si>
  <si>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</si>
  <si>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</si>
  <si>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</si>
  <si>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</si>
  <si>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</si>
  <si>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</si>
  <si>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</si>
  <si>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</si>
  <si>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</si>
  <si>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</si>
  <si>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</si>
  <si>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</si>
  <si>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</si>
  <si>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</si>
  <si>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</si>
  <si>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</si>
  <si>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</si>
  <si>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</si>
  <si>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</si>
  <si>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</si>
  <si>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</si>
  <si>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</si>
  <si>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</si>
  <si>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</si>
  <si>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</si>
  <si>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</si>
  <si>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</si>
  <si>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</si>
  <si>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</si>
  <si>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</si>
  <si>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</si>
  <si>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</si>
  <si>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</si>
  <si>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</si>
  <si>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</si>
  <si>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</si>
  <si>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</si>
  <si>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</si>
  <si>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</si>
  <si>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</si>
  <si>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</si>
  <si>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</si>
  <si>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</si>
  <si>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</si>
  <si>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</si>
  <si>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</si>
  <si>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</si>
  <si>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</si>
  <si>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</si>
  <si>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</si>
  <si>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</si>
  <si>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</si>
  <si>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</si>
  <si>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</si>
  <si>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</si>
  <si>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</si>
  <si>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</si>
  <si>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</si>
  <si>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</si>
  <si>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</si>
  <si>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</si>
  <si>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</si>
  <si>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</si>
  <si>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</si>
  <si>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</si>
  <si>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</si>
  <si>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</si>
  <si>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</si>
  <si>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</si>
  <si>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</si>
  <si>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</si>
  <si>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</si>
  <si>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</si>
  <si>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</si>
  <si>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</si>
  <si>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</si>
  <si>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</si>
  <si>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</si>
  <si>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</si>
  <si>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</si>
  <si>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</si>
  <si>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</si>
  <si>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</si>
  <si>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</si>
  <si>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</si>
  <si>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</si>
  <si>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</si>
  <si>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</si>
  <si>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</si>
  <si>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</si>
  <si>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</si>
  <si>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</si>
  <si>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</si>
  <si>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</si>
  <si>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</si>
  <si>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</si>
  <si>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</si>
  <si>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</si>
  <si>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</si>
  <si>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</si>
  <si>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</si>
  <si>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</si>
  <si>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</si>
  <si>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</si>
  <si>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</si>
  <si>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</si>
  <si>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</si>
  <si>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</si>
  <si>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</si>
  <si>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</si>
  <si>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</si>
  <si>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</si>
  <si>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</si>
  <si>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</si>
  <si>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</si>
  <si>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</si>
  <si>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</si>
  <si>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</si>
  <si>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</si>
  <si>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</si>
  <si>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</si>
  <si>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</si>
  <si>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</si>
  <si>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</si>
  <si>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</si>
  <si>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</si>
  <si>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</si>
  <si>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</si>
  <si>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</si>
  <si>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</si>
  <si>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</si>
  <si>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</si>
  <si>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</si>
  <si>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</si>
  <si>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</si>
  <si>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</si>
  <si>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</si>
  <si>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</si>
  <si>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</si>
  <si>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</si>
  <si>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</si>
  <si>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</si>
  <si>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</si>
  <si>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</si>
  <si>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</si>
  <si>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</si>
  <si>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</si>
  <si>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</si>
  <si>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</si>
  <si>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</si>
  <si>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</si>
  <si>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</si>
  <si>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</si>
  <si>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</si>
  <si>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</si>
  <si>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</si>
  <si>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</si>
  <si>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</si>
  <si>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</si>
  <si>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</si>
  <si>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</si>
  <si>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</si>
  <si>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</si>
  <si>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</si>
  <si>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</si>
  <si>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</si>
  <si>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</si>
  <si>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</si>
  <si>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</si>
  <si>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</si>
  <si>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</si>
  <si>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</si>
  <si>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</si>
  <si>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</si>
  <si>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</si>
  <si>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</si>
  <si>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</si>
  <si>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</si>
  <si>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</si>
  <si>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</si>
  <si>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</si>
  <si>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</si>
  <si>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</si>
  <si>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</si>
  <si>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</si>
  <si>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</si>
  <si>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</si>
  <si>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</si>
  <si>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</si>
  <si>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</si>
  <si>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</si>
  <si>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</si>
  <si>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</si>
  <si>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</si>
  <si>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</si>
  <si>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</si>
  <si>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</si>
  <si>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</si>
  <si>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</si>
  <si>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</si>
  <si>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</si>
  <si>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</si>
  <si>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</si>
  <si>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</si>
  <si>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</si>
  <si>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</si>
  <si>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</si>
  <si>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</si>
  <si>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</si>
  <si>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</si>
  <si>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</si>
  <si>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</si>
  <si>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</si>
  <si>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</si>
  <si>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</si>
  <si>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</si>
  <si>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</si>
  <si>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</si>
  <si>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</si>
  <si>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</si>
  <si>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</si>
  <si>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</si>
  <si>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</si>
  <si>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</si>
  <si>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</si>
  <si>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</si>
  <si>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</si>
  <si>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</si>
  <si>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</si>
  <si>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</si>
  <si>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</si>
  <si>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</si>
  <si>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</si>
  <si>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</si>
  <si>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</si>
  <si>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</si>
  <si>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</si>
  <si>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</si>
  <si>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</si>
  <si>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</si>
  <si>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</si>
  <si>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</si>
  <si>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</si>
  <si>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</si>
  <si>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</si>
  <si>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</si>
  <si>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</si>
  <si>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</si>
  <si>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</si>
  <si>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</si>
  <si>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</si>
  <si>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</si>
  <si>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</si>
  <si>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</si>
  <si>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</si>
  <si>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</si>
  <si>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</si>
  <si>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</si>
  <si>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</si>
  <si>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</si>
  <si>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</si>
  <si>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</si>
  <si>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</si>
  <si>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</si>
  <si>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</si>
  <si>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</si>
  <si>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</si>
  <si>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</si>
  <si>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</si>
  <si>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</si>
  <si>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</si>
  <si>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</si>
  <si>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</si>
  <si>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</si>
  <si>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</si>
  <si>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</si>
  <si>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</si>
  <si>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</si>
  <si>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</si>
  <si>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</si>
  <si>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</si>
  <si>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</si>
  <si>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</si>
  <si>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</si>
  <si>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</si>
  <si>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</si>
  <si>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</si>
  <si>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</si>
  <si>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</si>
  <si>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</si>
  <si>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</si>
  <si>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</si>
  <si>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</si>
  <si>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</si>
  <si>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</si>
  <si>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</si>
  <si>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</si>
  <si>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</si>
  <si>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</si>
  <si>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</si>
  <si>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</si>
  <si>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</si>
  <si>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</si>
  <si>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</si>
  <si>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</si>
  <si>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</si>
  <si>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</si>
  <si>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</si>
  <si>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</si>
  <si>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</si>
  <si>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</si>
  <si>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</si>
  <si>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</si>
  <si>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</si>
  <si>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</si>
  <si>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</si>
  <si>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</si>
  <si>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</si>
  <si>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</si>
  <si>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</si>
  <si>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</si>
  <si>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</si>
  <si>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</si>
  <si>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</si>
  <si>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</si>
  <si>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</si>
  <si>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</si>
  <si>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</si>
  <si>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</si>
  <si>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</si>
  <si>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</si>
  <si>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</si>
  <si>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</si>
  <si>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</si>
  <si>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</si>
  <si>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</si>
  <si>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</si>
  <si>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</si>
  <si>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</si>
  <si>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</si>
  <si>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</si>
  <si>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</si>
  <si>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</si>
  <si>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</si>
  <si>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</si>
  <si>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</si>
  <si>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</si>
  <si>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</si>
  <si>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</si>
  <si>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</si>
  <si>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</si>
  <si>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</si>
  <si>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</si>
  <si>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</si>
  <si>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</si>
  <si>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</si>
  <si>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</si>
  <si>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</si>
  <si>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</si>
  <si>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</si>
  <si>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</si>
  <si>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</si>
  <si>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</si>
  <si>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</si>
  <si>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</si>
  <si>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</si>
  <si>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</si>
  <si>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</si>
  <si>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</si>
  <si>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</si>
  <si>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</si>
  <si>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</si>
  <si>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</si>
  <si>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</si>
  <si>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</si>
  <si>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</si>
  <si>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</si>
  <si>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</si>
  <si>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</si>
  <si>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</si>
  <si>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</si>
  <si>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</si>
  <si>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</si>
  <si>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</si>
  <si>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</si>
  <si>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</si>
  <si>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</si>
  <si>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</si>
  <si>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</si>
  <si>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</si>
  <si>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</si>
  <si>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</si>
  <si>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</si>
  <si>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</si>
  <si>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</si>
  <si>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</si>
  <si>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</si>
  <si>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</si>
  <si>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</si>
  <si>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</si>
  <si>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</si>
  <si>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</si>
  <si>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</si>
  <si>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</si>
  <si>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</si>
  <si>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</si>
  <si>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</si>
  <si>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</si>
  <si>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</si>
  <si>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</si>
  <si>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</si>
  <si>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</si>
  <si>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</si>
  <si>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</si>
  <si>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</si>
  <si>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</si>
  <si>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</si>
  <si>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</si>
  <si>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</si>
  <si>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</si>
  <si>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</si>
  <si>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</si>
  <si>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</si>
  <si>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</si>
  <si>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</si>
  <si>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</si>
  <si>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</si>
  <si>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</si>
  <si>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</si>
  <si>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</si>
  <si>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</si>
  <si>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</si>
  <si>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</si>
  <si>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</si>
  <si>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</si>
  <si>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</si>
  <si>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</si>
  <si>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</si>
  <si>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</si>
  <si>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</si>
  <si>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</si>
  <si>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</si>
  <si>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</si>
  <si>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</si>
  <si>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</si>
  <si>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</si>
  <si>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</si>
  <si>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</si>
  <si>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</si>
  <si>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</si>
  <si>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</si>
  <si>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</si>
  <si>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</si>
  <si>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</si>
  <si>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</si>
  <si>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</si>
  <si>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</si>
  <si>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</si>
  <si>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</si>
  <si>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</si>
  <si>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</si>
  <si>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</si>
  <si>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</si>
  <si>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</si>
  <si>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</si>
  <si>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</si>
  <si>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</si>
  <si>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</si>
  <si>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</si>
  <si>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</si>
  <si>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</si>
  <si>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</si>
  <si>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</si>
  <si>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</si>
  <si>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</si>
  <si>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</si>
  <si>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</si>
  <si>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</si>
  <si>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</si>
  <si>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</si>
  <si>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</si>
  <si>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</si>
  <si>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</si>
  <si>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</si>
  <si>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</si>
  <si>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</si>
  <si>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</si>
  <si>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</si>
  <si>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</si>
  <si>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</si>
  <si>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</si>
  <si>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</si>
  <si>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</si>
  <si>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</si>
  <si>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</si>
  <si>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</si>
  <si>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</si>
  <si>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</si>
  <si>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</si>
  <si>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</si>
  <si>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</si>
  <si>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</si>
  <si>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</si>
  <si>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</si>
  <si>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</si>
  <si>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</si>
  <si>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</si>
  <si>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</si>
  <si>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</si>
  <si>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</si>
  <si>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</si>
  <si>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</si>
  <si>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</si>
  <si>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</si>
  <si>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</si>
  <si>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</si>
  <si>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</si>
  <si>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</si>
  <si>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</si>
  <si>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</si>
  <si>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</si>
  <si>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</si>
  <si>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</si>
  <si>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</si>
  <si>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</si>
  <si>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</si>
  <si>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</si>
  <si>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</si>
  <si>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</si>
  <si>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</si>
  <si>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</si>
  <si>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</si>
  <si>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</si>
  <si>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</si>
  <si>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</si>
  <si>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</si>
  <si>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</si>
  <si>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</si>
  <si>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</si>
  <si>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</si>
  <si>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</si>
  <si>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</si>
  <si>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</si>
  <si>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</si>
  <si>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</si>
  <si>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</si>
  <si>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</si>
  <si>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</si>
  <si>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</si>
  <si>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</si>
  <si>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</si>
  <si>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</si>
  <si>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</si>
  <si>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</si>
  <si>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</si>
  <si>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</si>
  <si>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</si>
  <si>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</si>
  <si>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</si>
  <si>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</si>
  <si>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</si>
  <si>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</si>
  <si>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</si>
  <si>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</si>
  <si>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</si>
  <si>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</si>
  <si>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</si>
  <si>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</si>
  <si>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</si>
  <si>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</si>
  <si>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</si>
  <si>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</si>
  <si>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</si>
  <si>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</si>
  <si>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</si>
  <si>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</si>
  <si>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</si>
  <si>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</si>
  <si>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</si>
  <si>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</si>
  <si>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</si>
  <si>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</si>
  <si>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</si>
  <si>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</si>
  <si>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</si>
  <si>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</si>
  <si>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</si>
  <si>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</si>
  <si>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</si>
  <si>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</si>
  <si>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</si>
  <si>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</si>
  <si>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</si>
  <si>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</si>
  <si>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</si>
  <si>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</si>
  <si>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</si>
  <si>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</si>
  <si>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</si>
  <si>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</si>
  <si>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</si>
  <si>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</si>
  <si>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</si>
  <si>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</si>
  <si>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</si>
  <si>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</si>
  <si>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</si>
  <si>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</si>
  <si>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</si>
  <si>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</si>
  <si>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</si>
  <si>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</si>
  <si>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</si>
  <si>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</si>
  <si>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</si>
  <si>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</si>
  <si>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</si>
  <si>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</si>
  <si>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</si>
  <si>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</si>
  <si>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</si>
  <si>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</si>
  <si>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</si>
  <si>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</si>
  <si>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</si>
  <si>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</si>
  <si>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</si>
  <si>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</si>
  <si>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</si>
  <si>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</si>
  <si>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</si>
  <si>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</si>
  <si>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</si>
  <si>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</si>
  <si>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</si>
  <si>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</si>
  <si>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</si>
  <si>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</si>
  <si>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</si>
  <si>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</si>
  <si>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</si>
  <si>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</si>
  <si>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</si>
  <si>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</si>
  <si>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</si>
  <si>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</si>
  <si>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</si>
  <si>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</si>
  <si>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</si>
  <si>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</si>
  <si>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</si>
  <si>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</si>
  <si>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</si>
  <si>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</si>
  <si>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</si>
  <si>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</si>
  <si>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</si>
  <si>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</si>
  <si>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</si>
  <si>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</si>
  <si>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</si>
  <si>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</si>
  <si>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</si>
  <si>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</si>
  <si>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</si>
  <si>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</si>
  <si>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</si>
  <si>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</si>
  <si>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</si>
  <si>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</si>
  <si>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</si>
  <si>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</si>
  <si>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</si>
  <si>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</si>
  <si>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</si>
  <si>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</si>
  <si>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</si>
  <si>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</si>
  <si>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</si>
  <si>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</si>
  <si>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</si>
  <si>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</si>
  <si>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</si>
  <si>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</si>
  <si>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call count</t>
  </si>
  <si>
    <t>total amount</t>
  </si>
  <si>
    <t>Total Duration</t>
  </si>
  <si>
    <t>Avg Rating</t>
  </si>
  <si>
    <t>5*calls</t>
  </si>
  <si>
    <t>Row Labels</t>
  </si>
  <si>
    <t>Grand Total</t>
  </si>
  <si>
    <t>Jan</t>
  </si>
  <si>
    <t>Feb</t>
  </si>
  <si>
    <t>Mar</t>
  </si>
  <si>
    <t>Apr</t>
  </si>
  <si>
    <t>May</t>
  </si>
  <si>
    <t>Jun</t>
  </si>
  <si>
    <t>Jul</t>
  </si>
  <si>
    <t>Aug</t>
  </si>
  <si>
    <t>Sep</t>
  </si>
  <si>
    <t>Oct</t>
  </si>
  <si>
    <t>Nov</t>
  </si>
  <si>
    <t>Dec</t>
  </si>
  <si>
    <t>call count2</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</si>
  <si>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</si>
  <si>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</si>
  <si>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</si>
  <si>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</si>
  <si>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</si>
  <si>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</si>
  <si>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</si>
  <si>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</si>
  <si>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</si>
  <si>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</si>
  <si>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</si>
  <si>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</si>
  <si>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</si>
  <si>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Monday</t>
  </si>
  <si>
    <t>More than 2 hours</t>
  </si>
  <si>
    <t>Wednesday</t>
  </si>
  <si>
    <t>30 to 60 mins</t>
  </si>
  <si>
    <t>Thursday</t>
  </si>
  <si>
    <t>1 to 2 hours</t>
  </si>
  <si>
    <t>Sunday</t>
  </si>
  <si>
    <t>Tuesday</t>
  </si>
  <si>
    <t>10 to 30 mins</t>
  </si>
  <si>
    <t>Friday</t>
  </si>
  <si>
    <t>Saturday</t>
  </si>
  <si>
    <t>Data returned for call count2, Jan, R01 (First 1000 rows).</t>
  </si>
  <si>
    <t>For graph</t>
  </si>
  <si>
    <t>Rep</t>
  </si>
  <si>
    <t>Calls</t>
  </si>
  <si>
    <t>Amount</t>
  </si>
  <si>
    <t>Sel.calls</t>
  </si>
  <si>
    <t>sel.Amount</t>
  </si>
  <si>
    <t>Selected Rep</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</si>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</sst>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mmm\-yy;@"/>
    <numFmt numFmtId="165" formatCode="&quot;₹&quot;\ #,##0;#,##0\ \-&quot;₹&quot;;&quot;₹&quot;\ #,##0"/>
    <numFmt numFmtId="166" formatCode="0.0"/>
    <numFmt numFmtId="167" formatCode="\$#,###.0,&quot;k&quot;"/>
    <numFmt numFmtId="168" formatCode="&quot;₹&quot;\ #,##0"/>
    <numFmt numFmtId="169" formatCode="&quot;₹&quot;\ #,##0;#,##0\ \-&quot;₹&quot;;&quot;₹&quot;\ #,##0"/>
  </numFmts>
  <fonts count="6" x14ac:knownFonts="1">
    <font>
      <sz val="11"/>
      <color theme="1"/>
      <name val="Aptos"/>
      <family val="2"/>
      <scheme val="minor"/>
    </font>
    <font>
      <b/>
      <sz val="11"/>
      <color theme="1"/>
      <name val="Aptos"/>
      <family val="2"/>
      <scheme val="minor"/>
    </font>
    <font>
      <sz val="18"/>
      <color theme="1"/>
      <name val="Aptos ExtraBold"/>
      <family val="2"/>
    </font>
    <font>
      <sz val="11"/>
      <color theme="0"/>
      <name val="Aptos"/>
      <family val="2"/>
      <scheme val="minor"/>
    </font>
    <font>
      <sz val="10"/>
      <color theme="1"/>
      <name val="Aptos"/>
      <family val="2"/>
      <scheme val="minor"/>
    </font>
    <font>
      <b/>
      <sz val="10"/>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6">
    <xf numFmtId="0" fontId="0" fillId="0" borderId="0" xfId="0"/>
    <xf numFmtId="0" fontId="0" fillId="2" borderId="0" xfId="0" applyFill="1"/>
    <xf numFmtId="0" fontId="2" fillId="2" borderId="0" xfId="0" applyFont="1" applyFill="1" applyAlignment="1">
      <alignment vertical="center"/>
    </xf>
    <xf numFmtId="9" fontId="0" fillId="0" borderId="0" xfId="0" applyNumberFormat="1"/>
    <xf numFmtId="0" fontId="1" fillId="0" borderId="0" xfId="0" applyFont="1"/>
    <xf numFmtId="0" fontId="1" fillId="0" borderId="0" xfId="0" applyFont="1" applyAlignment="1">
      <alignment horizontal="right"/>
    </xf>
    <xf numFmtId="0" fontId="1" fillId="0" borderId="0" xfId="0" applyFont="1" applyAlignment="1">
      <alignment horizontal="center"/>
    </xf>
    <xf numFmtId="0" fontId="1" fillId="0" borderId="1" xfId="0" applyFont="1" applyBorder="1"/>
    <xf numFmtId="0" fontId="1" fillId="0" borderId="2" xfId="0" applyFont="1" applyBorder="1"/>
    <xf numFmtId="0" fontId="1" fillId="0" borderId="3" xfId="0" applyFont="1" applyBorder="1"/>
    <xf numFmtId="2" fontId="0" fillId="0" borderId="0" xfId="0" applyNumberFormat="1" applyAlignment="1">
      <alignment horizontal="center"/>
    </xf>
    <xf numFmtId="164" fontId="0" fillId="0" borderId="0" xfId="0" applyNumberFormat="1" applyAlignment="1">
      <alignment horizontal="center"/>
    </xf>
    <xf numFmtId="0" fontId="0" fillId="0" borderId="4" xfId="0" applyBorder="1"/>
    <xf numFmtId="9" fontId="0" fillId="0" borderId="5" xfId="0" applyNumberFormat="1" applyBorder="1"/>
    <xf numFmtId="0" fontId="0" fillId="0" borderId="5" xfId="0" applyBorder="1"/>
    <xf numFmtId="0" fontId="0" fillId="0" borderId="6" xfId="0" applyBorder="1"/>
    <xf numFmtId="0" fontId="0" fillId="0" borderId="7" xfId="0" applyBorder="1"/>
    <xf numFmtId="9" fontId="0" fillId="0" borderId="8" xfId="0" applyNumberFormat="1" applyBorder="1"/>
    <xf numFmtId="0" fontId="0" fillId="0" borderId="8" xfId="0" applyBorder="1"/>
    <xf numFmtId="0" fontId="0" fillId="0" borderId="9" xfId="0" applyBorder="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3" borderId="0" xfId="0" applyFill="1"/>
    <xf numFmtId="0" fontId="3" fillId="3" borderId="0" xfId="0" applyFont="1" applyFill="1"/>
    <xf numFmtId="0" fontId="0" fillId="0" borderId="0" xfId="0" applyAlignment="1">
      <alignment horizontal="left"/>
    </xf>
    <xf numFmtId="14" fontId="0" fillId="0" borderId="0" xfId="0" applyNumberFormat="1"/>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4" fillId="5" borderId="0" xfId="0" applyFont="1" applyFill="1"/>
    <xf numFmtId="0" fontId="4" fillId="5" borderId="14" xfId="0" applyFont="1" applyFill="1" applyBorder="1"/>
    <xf numFmtId="0" fontId="4" fillId="5" borderId="13" xfId="0" applyFont="1" applyFill="1" applyBorder="1" applyAlignment="1">
      <alignment horizontal="right" indent="1"/>
    </xf>
    <xf numFmtId="168" fontId="4" fillId="5" borderId="0" xfId="0" applyNumberFormat="1" applyFont="1" applyFill="1"/>
    <xf numFmtId="168" fontId="4" fillId="5" borderId="14" xfId="0" applyNumberFormat="1" applyFont="1" applyFill="1" applyBorder="1"/>
    <xf numFmtId="0" fontId="0" fillId="5" borderId="0" xfId="0" applyFill="1"/>
    <xf numFmtId="0" fontId="4" fillId="5" borderId="15" xfId="0" applyFont="1" applyFill="1" applyBorder="1" applyAlignment="1">
      <alignment horizontal="right" indent="1"/>
    </xf>
    <xf numFmtId="168" fontId="4" fillId="5" borderId="16" xfId="0" applyNumberFormat="1" applyFont="1" applyFill="1" applyBorder="1"/>
    <xf numFmtId="168" fontId="4" fillId="5" borderId="17" xfId="0" applyNumberFormat="1" applyFont="1" applyFill="1" applyBorder="1"/>
    <xf numFmtId="0" fontId="1" fillId="5" borderId="11" xfId="0" applyFont="1" applyFill="1" applyBorder="1"/>
    <xf numFmtId="168" fontId="5" fillId="5" borderId="11" xfId="0" applyNumberFormat="1" applyFont="1" applyFill="1" applyBorder="1"/>
    <xf numFmtId="0" fontId="1" fillId="5" borderId="12" xfId="0" applyFont="1" applyFill="1" applyBorder="1"/>
    <xf numFmtId="0" fontId="5" fillId="5" borderId="13" xfId="0" applyFont="1" applyFill="1" applyBorder="1"/>
    <xf numFmtId="169" fontId="0" fillId="0" borderId="0" xfId="0" applyNumberFormat="1"/>
  </cellXfs>
  <cellStyles count="1">
    <cellStyle name="Normal" xfId="0" builtinId="0"/>
  </cellStyles>
  <dxfs count="18">
    <dxf>
      <fill>
        <patternFill>
          <bgColor theme="8" tint="0.39994506668294322"/>
        </patternFill>
      </fill>
      <border>
        <left style="thin">
          <color theme="1" tint="0.34998626667073579"/>
        </left>
        <right style="thin">
          <color theme="1" tint="0.34998626667073579"/>
        </right>
        <vertical/>
        <horizontal/>
      </border>
    </dxf>
    <dxf>
      <fill>
        <patternFill>
          <bgColor theme="8" tint="0.39994506668294322"/>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[PROJECT.xlsx]Pivot!Weekday Trend</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040799587551555"/>
          <c:y val="7.4906367041198504E-2"/>
          <c:w val="0.64486978190226218"/>
          <c:h val="0.86267166042446941"/>
        </c:manualLayout>
      </c:layout>
      <c:barChart>
        <c:barDir val="bar"/>
        <c:grouping val="clustered"/>
        <c:varyColors val="0"/>
        <c:ser>
          <c:idx val="0"/>
          <c:order val="0"/>
          <c:tx>
            <c:strRef>
              <c:f>Pivot!$G$38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Pivot!$F$39:$F$46</c:f>
              <c:strCache>
                <c:ptCount val="7"/>
                <c:pt idx="0">
                  <c:v>Sunday</c:v>
                </c:pt>
                <c:pt idx="1">
                  <c:v>Monday</c:v>
                </c:pt>
                <c:pt idx="2">
                  <c:v>Tuesday</c:v>
                </c:pt>
                <c:pt idx="3">
                  <c:v>Wednesday</c:v>
                </c:pt>
                <c:pt idx="4">
                  <c:v>Thursday</c:v>
                </c:pt>
                <c:pt idx="5">
                  <c:v>Friday</c:v>
                </c:pt>
                <c:pt idx="6">
                  <c:v>Saturday</c:v>
                </c:pt>
              </c:strCache>
            </c:strRef>
          </c:cat>
          <c:val>
            <c:numRef>
              <c:f>Pivot!$G$39:$G$46</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01FC-4AC8-AEA2-21AB9F284164}"/>
            </c:ext>
          </c:extLst>
        </c:ser>
        <c:dLbls>
          <c:dLblPos val="outEnd"/>
          <c:showLegendKey val="0"/>
          <c:showVal val="1"/>
          <c:showCatName val="0"/>
          <c:showSerName val="0"/>
          <c:showPercent val="0"/>
          <c:showBubbleSize val="0"/>
        </c:dLbls>
        <c:gapWidth val="25"/>
        <c:axId val="660242464"/>
        <c:axId val="660236704"/>
      </c:barChart>
      <c:catAx>
        <c:axId val="660242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236704"/>
        <c:crosses val="autoZero"/>
        <c:auto val="1"/>
        <c:lblAlgn val="ctr"/>
        <c:lblOffset val="100"/>
        <c:noMultiLvlLbl val="0"/>
      </c:catAx>
      <c:valAx>
        <c:axId val="660236704"/>
        <c:scaling>
          <c:orientation val="minMax"/>
        </c:scaling>
        <c:delete val="1"/>
        <c:axPos val="b"/>
        <c:numFmt formatCode="#,##0" sourceLinked="1"/>
        <c:majorTickMark val="out"/>
        <c:minorTickMark val="none"/>
        <c:tickLblPos val="nextTo"/>
        <c:crossAx val="66024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[PROJECT.xlsx]Pivot!Monthly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solidFill>
              </a:rPr>
              <a:t>Call</a:t>
            </a:r>
            <a:r>
              <a:rPr lang="en-IN" baseline="0">
                <a:solidFill>
                  <a:schemeClr val="accent6"/>
                </a:solidFill>
              </a:rPr>
              <a:t> Trend</a:t>
            </a:r>
            <a:endParaRPr lang="en-IN">
              <a:solidFill>
                <a:schemeClr val="accent6"/>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40000"/>
                  <a:lumOff val="60000"/>
                  <a:alpha val="50000"/>
                </a:schemeClr>
              </a:gs>
              <a:gs pos="0">
                <a:schemeClr val="accent6">
                  <a:lumMod val="40000"/>
                  <a:lumOff val="60000"/>
                </a:schemeClr>
              </a:gs>
              <a:gs pos="0">
                <a:schemeClr val="accent6"/>
              </a:gs>
              <a:gs pos="100000">
                <a:schemeClr val="accent6">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7"/>
          <c:spPr>
            <a:solidFill>
              <a:schemeClr val="accent6">
                <a:lumMod val="20000"/>
                <a:lumOff val="80000"/>
              </a:schemeClr>
            </a:solidFill>
            <a:ln w="25400">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Pivot!$C$38</c:f>
              <c:strCache>
                <c:ptCount val="1"/>
                <c:pt idx="0">
                  <c:v>call count2</c:v>
                </c:pt>
              </c:strCache>
            </c:strRef>
          </c:tx>
          <c:spPr>
            <a:gradFill>
              <a:gsLst>
                <a:gs pos="0">
                  <a:schemeClr val="accent6">
                    <a:lumMod val="40000"/>
                    <a:lumOff val="60000"/>
                    <a:alpha val="50000"/>
                  </a:schemeClr>
                </a:gs>
                <a:gs pos="0">
                  <a:schemeClr val="accent6">
                    <a:lumMod val="40000"/>
                    <a:lumOff val="60000"/>
                  </a:schemeClr>
                </a:gs>
                <a:gs pos="0">
                  <a:schemeClr val="accent6"/>
                </a:gs>
                <a:gs pos="100000">
                  <a:schemeClr val="accent6">
                    <a:lumMod val="40000"/>
                    <a:lumOff val="60000"/>
                  </a:schemeClr>
                </a:gs>
              </a:gsLst>
              <a:lin ang="5400000" scaled="1"/>
            </a:gradFill>
            <a:ln>
              <a:noFill/>
            </a:ln>
            <a:effectLst/>
          </c:spPr>
          <c:cat>
            <c:strRef>
              <c:f>Pivot!$A$39:$A$51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Pivot!$C$39:$C$51</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D7AF-43D8-96EB-E3D63194DFAC}"/>
            </c:ext>
          </c:extLst>
        </c:ser>
        <c:dLbls>
          <c:showLegendKey val="0"/>
          <c:showVal val="0"/>
          <c:showCatName val="0"/>
          <c:showSerName val="0"/>
          <c:showPercent val="0"/>
          <c:showBubbleSize val="0"/>
        </c:dLbls>
        <c:axId val="1919697968"/>
        <c:axId val="1919709488"/>
      </c:areaChart>
      <c:lineChart>
        <c:grouping val="standard"/>
        <c:varyColors val="0"/>
        <c:ser>
          <c:idx val="0"/>
          <c:order val="0"/>
          <c:tx>
            <c:strRef>
              <c:f>Pivot!$B$38</c:f>
              <c:strCache>
                <c:ptCount val="1"/>
                <c:pt idx="0">
                  <c:v>call count</c:v>
                </c:pt>
              </c:strCache>
            </c:strRef>
          </c:tx>
          <c:spPr>
            <a:ln w="28575" cap="rnd">
              <a:solidFill>
                <a:schemeClr val="accent6">
                  <a:lumMod val="75000"/>
                </a:schemeClr>
              </a:solidFill>
              <a:round/>
            </a:ln>
            <a:effectLst/>
          </c:spPr>
          <c:marker>
            <c:symbol val="circle"/>
            <c:size val="7"/>
            <c:spPr>
              <a:solidFill>
                <a:schemeClr val="accent6">
                  <a:lumMod val="20000"/>
                  <a:lumOff val="80000"/>
                </a:schemeClr>
              </a:solidFill>
              <a:ln w="25400">
                <a:solidFill>
                  <a:schemeClr val="accent6">
                    <a:lumMod val="75000"/>
                  </a:schemeClr>
                </a:solidFill>
              </a:ln>
              <a:effectLst/>
            </c:spPr>
          </c:marker>
          <c:cat>
            <c:strRef>
              <c:f>Pivot!$A$39:$A$51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Pivot!$B$39:$B$51</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D7AF-43D8-96EB-E3D63194DFAC}"/>
            </c:ext>
          </c:extLst>
        </c:ser>
        <c:dLbls>
          <c:showLegendKey val="0"/>
          <c:showVal val="0"/>
          <c:showCatName val="0"/>
          <c:showSerName val="0"/>
          <c:showPercent val="0"/>
          <c:showBubbleSize val="0"/>
        </c:dLbls>
        <c:marker val="1"/>
        <c:smooth val="0"/>
        <c:axId val="1919697968"/>
        <c:axId val="1919709488"/>
      </c:lineChart>
      <c:catAx>
        <c:axId val="191969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709488"/>
        <c:crosses val="autoZero"/>
        <c:auto val="1"/>
        <c:lblAlgn val="ctr"/>
        <c:lblOffset val="100"/>
        <c:noMultiLvlLbl val="0"/>
      </c:catAx>
      <c:valAx>
        <c:axId val="1919709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69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Pivot!$F$56:$F$60</c:f>
              <c:strCache>
                <c:ptCount val="5"/>
                <c:pt idx="0">
                  <c:v>R01</c:v>
                </c:pt>
                <c:pt idx="1">
                  <c:v>R02</c:v>
                </c:pt>
                <c:pt idx="2">
                  <c:v>R03</c:v>
                </c:pt>
                <c:pt idx="3">
                  <c:v>R04</c:v>
                </c:pt>
                <c:pt idx="4">
                  <c:v>R05</c:v>
                </c:pt>
              </c:strCache>
            </c:strRef>
          </c:cat>
          <c:val>
            <c:numRef>
              <c:f>Pivot!$G$56:$G$60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2C4-4DF9-B3E0-241E35BAB895}"/>
            </c:ext>
          </c:extLst>
        </c:ser>
        <c:ser>
          <c:idx val="1"/>
          <c:order val="1"/>
          <c:tx>
            <c:strRef>
              <c:f>Pivot!$I$55</c:f>
              <c:strCache>
                <c:ptCount val="1"/>
                <c:pt idx="0">
                  <c:v>Sel.calls</c:v>
                </c:pt>
              </c:strCache>
            </c:strRef>
          </c:tx>
          <c:spPr>
            <a:gradFill flip="none" rotWithShape="1">
              <a:gsLst>
                <a:gs pos="0">
                  <a:schemeClr val="accent6">
                    <a:lumMod val="67000"/>
                  </a:schemeClr>
                </a:gs>
                <a:gs pos="100000">
                  <a:schemeClr val="accent6">
                    <a:lumMod val="60000"/>
                    <a:lumOff val="40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Pivot!$I$56:$I$60</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E2C4-4DF9-B3E0-241E35BAB895}"/>
            </c:ext>
          </c:extLst>
        </c:ser>
        <c:dLbls>
          <c:dLblPos val="outEnd"/>
          <c:showLegendKey val="0"/>
          <c:showVal val="1"/>
          <c:showCatName val="0"/>
          <c:showSerName val="0"/>
          <c:showPercent val="0"/>
          <c:showBubbleSize val="0"/>
        </c:dLbls>
        <c:gapWidth val="25"/>
        <c:overlap val="100"/>
        <c:axId val="1203646911"/>
        <c:axId val="1203647391"/>
      </c:barChart>
      <c:catAx>
        <c:axId val="120364691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647391"/>
        <c:crosses val="autoZero"/>
        <c:auto val="1"/>
        <c:lblAlgn val="ctr"/>
        <c:lblOffset val="100"/>
        <c:noMultiLvlLbl val="0"/>
      </c:catAx>
      <c:valAx>
        <c:axId val="1203647391"/>
        <c:scaling>
          <c:orientation val="minMax"/>
          <c:min val="0"/>
        </c:scaling>
        <c:delete val="1"/>
        <c:axPos val="t"/>
        <c:numFmt formatCode="General" sourceLinked="1"/>
        <c:majorTickMark val="none"/>
        <c:minorTickMark val="none"/>
        <c:tickLblPos val="nextTo"/>
        <c:crossAx val="120364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889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95000"/>
              </a:schemeClr>
            </a:solidFill>
            <a:ln>
              <a:solidFill>
                <a:schemeClr val="bg1">
                  <a:lumMod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Pivot!$F$56:$F$60</c:f>
              <c:strCache>
                <c:ptCount val="5"/>
                <c:pt idx="0">
                  <c:v>R01</c:v>
                </c:pt>
                <c:pt idx="1">
                  <c:v>R02</c:v>
                </c:pt>
                <c:pt idx="2">
                  <c:v>R03</c:v>
                </c:pt>
                <c:pt idx="3">
                  <c:v>R04</c:v>
                </c:pt>
                <c:pt idx="4">
                  <c:v>R05</c:v>
                </c:pt>
              </c:strCache>
            </c:strRef>
          </c:cat>
          <c:val>
            <c:numRef>
              <c:f>Pivot!$H$56:$H$60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D9B-4D6F-A177-E28AF5ABEF48}"/>
            </c:ext>
          </c:extLst>
        </c:ser>
        <c:ser>
          <c:idx val="1"/>
          <c:order val="1"/>
          <c:tx>
            <c:strRef>
              <c:f>Pivot!$J$55</c:f>
              <c:strCache>
                <c:ptCount val="1"/>
                <c:pt idx="0">
                  <c:v>sel.Amount</c:v>
                </c:pt>
              </c:strCache>
            </c:strRef>
          </c:tx>
          <c:spPr>
            <a:gradFill flip="none" rotWithShape="1">
              <a:gsLst>
                <a:gs pos="0">
                  <a:schemeClr val="accent6">
                    <a:lumMod val="67000"/>
                  </a:schemeClr>
                </a:gs>
                <a:gs pos="100000">
                  <a:schemeClr val="accent6">
                    <a:lumMod val="60000"/>
                    <a:lumOff val="40000"/>
                  </a:schemeClr>
                </a:gs>
              </a:gsLst>
              <a:lin ang="10800000" scaled="1"/>
              <a:tileRect/>
            </a:gradFill>
            <a:ln>
              <a:noFill/>
            </a:ln>
            <a:effectLst/>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2-FD9B-4D6F-A177-E28AF5ABEF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Pivot!$J$56:$J$60</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FD9B-4D6F-A177-E28AF5ABEF48}"/>
            </c:ext>
          </c:extLst>
        </c:ser>
        <c:dLbls>
          <c:dLblPos val="outEnd"/>
          <c:showLegendKey val="0"/>
          <c:showVal val="1"/>
          <c:showCatName val="0"/>
          <c:showSerName val="0"/>
          <c:showPercent val="0"/>
          <c:showBubbleSize val="0"/>
        </c:dLbls>
        <c:gapWidth val="25"/>
        <c:overlap val="100"/>
        <c:axId val="1203646911"/>
        <c:axId val="1203647391"/>
      </c:barChart>
      <c:catAx>
        <c:axId val="1203646911"/>
        <c:scaling>
          <c:orientation val="maxMin"/>
        </c:scaling>
        <c:delete val="1"/>
        <c:axPos val="l"/>
        <c:numFmt formatCode="General" sourceLinked="1"/>
        <c:majorTickMark val="none"/>
        <c:minorTickMark val="none"/>
        <c:tickLblPos val="nextTo"/>
        <c:crossAx val="1203647391"/>
        <c:crosses val="autoZero"/>
        <c:auto val="1"/>
        <c:lblAlgn val="ctr"/>
        <c:lblOffset val="100"/>
        <c:noMultiLvlLbl val="0"/>
      </c:catAx>
      <c:valAx>
        <c:axId val="1203647391"/>
        <c:scaling>
          <c:orientation val="minMax"/>
          <c:min val="0"/>
        </c:scaling>
        <c:delete val="1"/>
        <c:axPos val="t"/>
        <c:numFmt formatCode="\$#,###.0,&quot;k&quot;" sourceLinked="1"/>
        <c:majorTickMark val="none"/>
        <c:minorTickMark val="none"/>
        <c:tickLblPos val="nextTo"/>
        <c:crossAx val="120364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rPr>
              <a:t>Female</a:t>
            </a:r>
            <a:r>
              <a:rPr lang="en-IN" baseline="0"/>
              <a:t> vs </a:t>
            </a:r>
            <a:r>
              <a:rPr lang="en-IN" baseline="0">
                <a:solidFill>
                  <a:schemeClr val="accent4"/>
                </a:solidFill>
              </a:rPr>
              <a:t>Male</a:t>
            </a:r>
            <a:r>
              <a:rPr lang="en-IN" baseline="0"/>
              <a:t> Callers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lumMod val="60000"/>
              <a:lumOff val="40000"/>
            </a:schemeClr>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Pivot!$B$77:$B$78</c:f>
              <c:strCache>
                <c:ptCount val="1"/>
                <c:pt idx="0">
                  <c:v>Female</c:v>
                </c:pt>
              </c:strCache>
            </c:strRef>
          </c:tx>
          <c:spPr>
            <a:solidFill>
              <a:schemeClr val="accent5"/>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Pivot!$A$79:$A$82</c:f>
              <c:strCache>
                <c:ptCount val="3"/>
                <c:pt idx="0">
                  <c:v>Cincinnati</c:v>
                </c:pt>
                <c:pt idx="1">
                  <c:v>Cleveland</c:v>
                </c:pt>
                <c:pt idx="2">
                  <c:v>Columbus</c:v>
                </c:pt>
              </c:strCache>
            </c:strRef>
          </c:cat>
          <c:val>
            <c:numRef>
              <c:f>Pivot!$B$79:$B$82</c:f>
              <c:numCache>
                <c:formatCode>#,##0</c:formatCode>
                <c:ptCount val="3"/>
                <c:pt idx="0">
                  <c:v>144</c:v>
                </c:pt>
                <c:pt idx="1">
                  <c:v>326</c:v>
                </c:pt>
                <c:pt idx="2">
                  <c:v>129</c:v>
                </c:pt>
              </c:numCache>
            </c:numRef>
          </c:val>
          <c:extLst>
            <c:ext xmlns:c16="http://schemas.microsoft.com/office/drawing/2014/chart" uri="{C3380CC4-5D6E-409C-BE32-E72D297353CC}">
              <c16:uniqueId val="{00000000-1E3D-4D45-950F-B2A845DA424A}"/>
            </c:ext>
          </c:extLst>
        </c:ser>
        <c:ser>
          <c:idx val="1"/>
          <c:order val="1"/>
          <c:tx>
            <c:strRef>
              <c:f>Pivot!$C$77:$C$78</c:f>
              <c:strCache>
                <c:ptCount val="1"/>
                <c:pt idx="0">
                  <c:v>Male</c:v>
                </c:pt>
              </c:strCache>
            </c:strRef>
          </c:tx>
          <c:spPr>
            <a:solidFill>
              <a:schemeClr val="accent4">
                <a:lumMod val="60000"/>
                <a:lumOff val="40000"/>
              </a:schemeClr>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Pivot!$A$79:$A$82</c:f>
              <c:strCache>
                <c:ptCount val="3"/>
                <c:pt idx="0">
                  <c:v>Cincinnati</c:v>
                </c:pt>
                <c:pt idx="1">
                  <c:v>Cleveland</c:v>
                </c:pt>
                <c:pt idx="2">
                  <c:v>Columbus</c:v>
                </c:pt>
              </c:strCache>
            </c:strRef>
          </c:cat>
          <c:val>
            <c:numRef>
              <c:f>Pivot!$C$79:$C$82</c:f>
              <c:numCache>
                <c:formatCode>#,##0</c:formatCode>
                <c:ptCount val="3"/>
                <c:pt idx="0">
                  <c:v>132</c:v>
                </c:pt>
                <c:pt idx="1">
                  <c:v>63</c:v>
                </c:pt>
                <c:pt idx="2">
                  <c:v>206</c:v>
                </c:pt>
              </c:numCache>
            </c:numRef>
          </c:val>
          <c:extLst>
            <c:ext xmlns:c16="http://schemas.microsoft.com/office/drawing/2014/chart" uri="{C3380CC4-5D6E-409C-BE32-E72D297353CC}">
              <c16:uniqueId val="{00000001-1E3D-4D45-950F-B2A845DA424A}"/>
            </c:ext>
          </c:extLst>
        </c:ser>
        <c:dLbls>
          <c:dLblPos val="ctr"/>
          <c:showLegendKey val="0"/>
          <c:showVal val="1"/>
          <c:showCatName val="0"/>
          <c:showSerName val="0"/>
          <c:showPercent val="0"/>
          <c:showBubbleSize val="0"/>
        </c:dLbls>
        <c:gapWidth val="150"/>
        <c:overlap val="100"/>
        <c:axId val="1072675663"/>
        <c:axId val="1072659343"/>
      </c:barChart>
      <c:catAx>
        <c:axId val="107267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659343"/>
        <c:crosses val="autoZero"/>
        <c:auto val="1"/>
        <c:lblAlgn val="ctr"/>
        <c:lblOffset val="100"/>
        <c:noMultiLvlLbl val="0"/>
      </c:catAx>
      <c:valAx>
        <c:axId val="1072659343"/>
        <c:scaling>
          <c:orientation val="minMax"/>
        </c:scaling>
        <c:delete val="1"/>
        <c:axPos val="l"/>
        <c:numFmt formatCode="0%" sourceLinked="1"/>
        <c:majorTickMark val="none"/>
        <c:minorTickMark val="none"/>
        <c:tickLblPos val="nextTo"/>
        <c:crossAx val="107267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[PROJECT.xlsx]Pivot!Rep Satisfaction</c:name>
    <c:fmtId val="14"/>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Rating</a:t>
            </a:r>
          </a:p>
          <a:p>
            <a:pPr>
              <a:defRPr>
                <a:solidFill>
                  <a:schemeClr val="bg2">
                    <a:lumMod val="25000"/>
                  </a:schemeClr>
                </a:solidFill>
              </a:defRPr>
            </a:pPr>
            <a:endParaRPr lang="en-US">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Pivot!$B$89</c:f>
              <c:strCache>
                <c:ptCount val="1"/>
                <c:pt idx="0">
                  <c:v>Total</c:v>
                </c:pt>
              </c:strCache>
            </c:strRef>
          </c:tx>
          <c:spPr>
            <a:solidFill>
              <a:schemeClr val="bg2">
                <a:lumMod val="25000"/>
              </a:schemeClr>
            </a:solidFill>
            <a:ln>
              <a:noFill/>
            </a:ln>
            <a:effectLst/>
          </c:spPr>
          <c:invertIfNegative val="0"/>
          <c:cat>
            <c:strRef>
              <c:f>Pivot!$A$90:$A$96</c:f>
              <c:strCache>
                <c:ptCount val="6"/>
                <c:pt idx="0">
                  <c:v>0</c:v>
                </c:pt>
                <c:pt idx="1">
                  <c:v>1</c:v>
                </c:pt>
                <c:pt idx="2">
                  <c:v>2</c:v>
                </c:pt>
                <c:pt idx="3">
                  <c:v>3</c:v>
                </c:pt>
                <c:pt idx="4">
                  <c:v>4</c:v>
                </c:pt>
                <c:pt idx="5">
                  <c:v>5</c:v>
                </c:pt>
              </c:strCache>
            </c:strRef>
          </c:cat>
          <c:val>
            <c:numRef>
              <c:f>Pivot!$B$90:$B$96</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3A4E-4D8D-8B8C-DF42B7C474A3}"/>
            </c:ext>
          </c:extLst>
        </c:ser>
        <c:dLbls>
          <c:showLegendKey val="0"/>
          <c:showVal val="0"/>
          <c:showCatName val="0"/>
          <c:showSerName val="0"/>
          <c:showPercent val="0"/>
          <c:showBubbleSize val="0"/>
        </c:dLbls>
        <c:gapWidth val="10"/>
        <c:overlap val="-27"/>
        <c:axId val="1905767679"/>
        <c:axId val="1905756159"/>
      </c:barChart>
      <c:catAx>
        <c:axId val="1905767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756159"/>
        <c:crosses val="autoZero"/>
        <c:auto val="1"/>
        <c:lblAlgn val="ctr"/>
        <c:lblOffset val="100"/>
        <c:noMultiLvlLbl val="0"/>
      </c:catAx>
      <c:valAx>
        <c:axId val="1905756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76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106680</xdr:colOff>
      <xdr:row>8</xdr:row>
      <xdr:rowOff>0</xdr:rowOff>
    </xdr:from>
    <xdr:to>
      <xdr:col>8</xdr:col>
      <xdr:colOff>319403</xdr:colOff>
      <xdr:row>22</xdr:row>
      <xdr:rowOff>20955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B0181C40-5F8D-9EFC-FDC9-07E69DFB7BE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610100" y="1463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144780</xdr:colOff>
      <xdr:row>2</xdr:row>
      <xdr:rowOff>152400</xdr:rowOff>
    </xdr:from>
    <xdr:to>
      <xdr:col>4</xdr:col>
      <xdr:colOff>281940</xdr:colOff>
      <xdr:row>8</xdr:row>
      <xdr:rowOff>22860</xdr:rowOff>
    </xdr:to>
    <xdr:sp macro="" textlink="Pivot!A4">
      <xdr:nvSpPr>
        <xdr:cNvPr id="2" name="Rectangle 1">
          <a:extLst>
            <a:ext uri="{FF2B5EF4-FFF2-40B4-BE49-F238E27FC236}">
              <a16:creationId xmlns:a16="http://schemas.microsoft.com/office/drawing/2014/main" id="{6879AC5C-FD45-CC6D-A2A7-5344B4EC18A2}"/>
            </a:ext>
          </a:extLst>
        </xdr:cNvPr>
        <xdr:cNvSpPr/>
      </xdr:nvSpPr>
      <xdr:spPr>
        <a:xfrm>
          <a:off x="335280" y="510540"/>
          <a:ext cx="1478280" cy="9677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CCD3ED-F816-4899-9DDF-2A285B477E4B}" type="TxLink">
            <a:rPr lang="en-US" sz="2200" b="0" i="0" u="none" strike="noStrike">
              <a:solidFill>
                <a:schemeClr val="bg1"/>
              </a:solidFill>
              <a:latin typeface="Arial Rounded MT Bold" panose="020F0704030504030204" pitchFamily="34" charset="0"/>
            </a:rPr>
            <a:pPr algn="ctr"/>
            <a:t>1,000</a:t>
          </a:fld>
          <a:endParaRPr lang="en-IN" sz="2200">
            <a:solidFill>
              <a:schemeClr val="bg1"/>
            </a:solidFill>
            <a:latin typeface="Arial Rounded MT Bold" panose="020F0704030504030204" pitchFamily="34" charset="0"/>
          </a:endParaRPr>
        </a:p>
      </xdr:txBody>
    </xdr:sp>
    <xdr:clientData/>
  </xdr:twoCellAnchor>
  <xdr:twoCellAnchor>
    <xdr:from>
      <xdr:col>2</xdr:col>
      <xdr:colOff>228600</xdr:colOff>
      <xdr:row>3</xdr:row>
      <xdr:rowOff>68580</xdr:rowOff>
    </xdr:from>
    <xdr:to>
      <xdr:col>4</xdr:col>
      <xdr:colOff>167640</xdr:colOff>
      <xdr:row>4</xdr:row>
      <xdr:rowOff>114300</xdr:rowOff>
    </xdr:to>
    <xdr:sp macro="" textlink="">
      <xdr:nvSpPr>
        <xdr:cNvPr id="3" name="TextBox 2">
          <a:extLst>
            <a:ext uri="{FF2B5EF4-FFF2-40B4-BE49-F238E27FC236}">
              <a16:creationId xmlns:a16="http://schemas.microsoft.com/office/drawing/2014/main" id="{670C1D8D-7213-68BA-5C2B-D05AFF763364}"/>
            </a:ext>
          </a:extLst>
        </xdr:cNvPr>
        <xdr:cNvSpPr txBox="1"/>
      </xdr:nvSpPr>
      <xdr:spPr>
        <a:xfrm>
          <a:off x="419100" y="609600"/>
          <a:ext cx="1280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Calls</a:t>
          </a:r>
        </a:p>
        <a:p>
          <a:endParaRPr lang="en-IN" sz="1100">
            <a:ln>
              <a:noFill/>
            </a:ln>
          </a:endParaRPr>
        </a:p>
        <a:p>
          <a:endParaRPr lang="en-IN" sz="1100"/>
        </a:p>
      </xdr:txBody>
    </xdr:sp>
    <xdr:clientData/>
  </xdr:twoCellAnchor>
  <xdr:twoCellAnchor editAs="oneCell">
    <xdr:from>
      <xdr:col>2</xdr:col>
      <xdr:colOff>457201</xdr:colOff>
      <xdr:row>3</xdr:row>
      <xdr:rowOff>88811</xdr:rowOff>
    </xdr:from>
    <xdr:to>
      <xdr:col>2</xdr:col>
      <xdr:colOff>662941</xdr:colOff>
      <xdr:row>4</xdr:row>
      <xdr:rowOff>106680</xdr:rowOff>
    </xdr:to>
    <xdr:pic>
      <xdr:nvPicPr>
        <xdr:cNvPr id="4" name="Graphic 3" descr="Receiver with solid fill">
          <a:extLst>
            <a:ext uri="{FF2B5EF4-FFF2-40B4-BE49-F238E27FC236}">
              <a16:creationId xmlns:a16="http://schemas.microsoft.com/office/drawing/2014/main" id="{4A6014DD-C5BF-4AC3-9DA8-60B6DFEB60F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1" y="629831"/>
          <a:ext cx="205740" cy="200749"/>
        </a:xfrm>
        <a:prstGeom prst="rect">
          <a:avLst/>
        </a:prstGeom>
      </xdr:spPr>
    </xdr:pic>
    <xdr:clientData/>
  </xdr:twoCellAnchor>
  <xdr:twoCellAnchor>
    <xdr:from>
      <xdr:col>2</xdr:col>
      <xdr:colOff>274320</xdr:colOff>
      <xdr:row>6</xdr:row>
      <xdr:rowOff>114300</xdr:rowOff>
    </xdr:from>
    <xdr:to>
      <xdr:col>4</xdr:col>
      <xdr:colOff>182880</xdr:colOff>
      <xdr:row>7</xdr:row>
      <xdr:rowOff>137160</xdr:rowOff>
    </xdr:to>
    <xdr:sp macro="" textlink="Pivot!A12">
      <xdr:nvSpPr>
        <xdr:cNvPr id="5" name="TextBox 4">
          <a:extLst>
            <a:ext uri="{FF2B5EF4-FFF2-40B4-BE49-F238E27FC236}">
              <a16:creationId xmlns:a16="http://schemas.microsoft.com/office/drawing/2014/main" id="{999EB089-F1E9-F927-7186-75AD604CC85E}"/>
            </a:ext>
          </a:extLst>
        </xdr:cNvPr>
        <xdr:cNvSpPr txBox="1"/>
      </xdr:nvSpPr>
      <xdr:spPr>
        <a:xfrm>
          <a:off x="464820" y="1203960"/>
          <a:ext cx="12496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5445B7-B68E-4D12-8326-24C9248D55D5}" type="TxLink">
            <a:rPr lang="en-US" sz="1100" b="0" i="0" u="none" strike="noStrike">
              <a:ln>
                <a:noFill/>
              </a:ln>
              <a:solidFill>
                <a:schemeClr val="bg1"/>
              </a:solidFill>
              <a:latin typeface="Aptos"/>
            </a:rPr>
            <a:pPr algn="ctr"/>
            <a:t>207</a:t>
          </a:fld>
          <a:endParaRPr lang="en-IN" sz="1100">
            <a:ln>
              <a:noFill/>
            </a:ln>
            <a:solidFill>
              <a:schemeClr val="bg1"/>
            </a:solidFill>
          </a:endParaRPr>
        </a:p>
      </xdr:txBody>
    </xdr:sp>
    <xdr:clientData/>
  </xdr:twoCellAnchor>
  <xdr:twoCellAnchor>
    <xdr:from>
      <xdr:col>2</xdr:col>
      <xdr:colOff>137160</xdr:colOff>
      <xdr:row>10</xdr:row>
      <xdr:rowOff>15240</xdr:rowOff>
    </xdr:from>
    <xdr:to>
      <xdr:col>4</xdr:col>
      <xdr:colOff>274320</xdr:colOff>
      <xdr:row>15</xdr:row>
      <xdr:rowOff>68580</xdr:rowOff>
    </xdr:to>
    <xdr:sp macro="" textlink="Pivot!B4">
      <xdr:nvSpPr>
        <xdr:cNvPr id="6" name="Rectangle 5">
          <a:extLst>
            <a:ext uri="{FF2B5EF4-FFF2-40B4-BE49-F238E27FC236}">
              <a16:creationId xmlns:a16="http://schemas.microsoft.com/office/drawing/2014/main" id="{7F2394E5-1301-4B37-A1D8-FCB6EB9514E4}"/>
            </a:ext>
          </a:extLst>
        </xdr:cNvPr>
        <xdr:cNvSpPr/>
      </xdr:nvSpPr>
      <xdr:spPr>
        <a:xfrm>
          <a:off x="327660" y="1836420"/>
          <a:ext cx="1478280" cy="9677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E1D8D1-A633-47A8-8C96-42BB3569E5AE}" type="TxLink">
            <a:rPr lang="en-US" sz="2200" b="0" i="0" u="none" strike="noStrike">
              <a:solidFill>
                <a:schemeClr val="bg1"/>
              </a:solidFill>
              <a:latin typeface="Arial Rounded MT Bold" panose="020F0704030504030204" pitchFamily="34" charset="0"/>
              <a:ea typeface="+mn-ea"/>
              <a:cs typeface="+mn-cs"/>
            </a:rPr>
            <a:pPr marL="0" indent="0" algn="ctr"/>
            <a:t>₹ 96,623</a:t>
          </a:fld>
          <a:endParaRPr lang="en-IN" sz="22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2</xdr:col>
      <xdr:colOff>220980</xdr:colOff>
      <xdr:row>10</xdr:row>
      <xdr:rowOff>114300</xdr:rowOff>
    </xdr:from>
    <xdr:to>
      <xdr:col>4</xdr:col>
      <xdr:colOff>160020</xdr:colOff>
      <xdr:row>11</xdr:row>
      <xdr:rowOff>160020</xdr:rowOff>
    </xdr:to>
    <xdr:sp macro="" textlink="">
      <xdr:nvSpPr>
        <xdr:cNvPr id="7" name="TextBox 6">
          <a:extLst>
            <a:ext uri="{FF2B5EF4-FFF2-40B4-BE49-F238E27FC236}">
              <a16:creationId xmlns:a16="http://schemas.microsoft.com/office/drawing/2014/main" id="{7F5B9995-7A3C-4CAA-9B5E-0C2DD546C139}"/>
            </a:ext>
          </a:extLst>
        </xdr:cNvPr>
        <xdr:cNvSpPr txBox="1"/>
      </xdr:nvSpPr>
      <xdr:spPr>
        <a:xfrm>
          <a:off x="411480" y="1935480"/>
          <a:ext cx="1280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Amount</a:t>
          </a:r>
        </a:p>
        <a:p>
          <a:endParaRPr lang="en-IN" sz="1100">
            <a:ln>
              <a:noFill/>
            </a:ln>
          </a:endParaRPr>
        </a:p>
        <a:p>
          <a:endParaRPr lang="en-IN" sz="1100"/>
        </a:p>
      </xdr:txBody>
    </xdr:sp>
    <xdr:clientData/>
  </xdr:twoCellAnchor>
  <xdr:twoCellAnchor>
    <xdr:from>
      <xdr:col>2</xdr:col>
      <xdr:colOff>266700</xdr:colOff>
      <xdr:row>13</xdr:row>
      <xdr:rowOff>160020</xdr:rowOff>
    </xdr:from>
    <xdr:to>
      <xdr:col>4</xdr:col>
      <xdr:colOff>175260</xdr:colOff>
      <xdr:row>15</xdr:row>
      <xdr:rowOff>0</xdr:rowOff>
    </xdr:to>
    <xdr:sp macro="" textlink="Pivot!B12">
      <xdr:nvSpPr>
        <xdr:cNvPr id="9" name="TextBox 8">
          <a:extLst>
            <a:ext uri="{FF2B5EF4-FFF2-40B4-BE49-F238E27FC236}">
              <a16:creationId xmlns:a16="http://schemas.microsoft.com/office/drawing/2014/main" id="{50E7BC4A-A017-4605-800F-E240C20F51DD}"/>
            </a:ext>
          </a:extLst>
        </xdr:cNvPr>
        <xdr:cNvSpPr txBox="1"/>
      </xdr:nvSpPr>
      <xdr:spPr>
        <a:xfrm>
          <a:off x="457200" y="2529840"/>
          <a:ext cx="12496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2FFE7C-4E3C-448B-A120-CA4130E5E6E5}" type="TxLink">
            <a:rPr lang="en-US" sz="1100" b="0" i="0" u="none" strike="noStrike">
              <a:ln>
                <a:noFill/>
              </a:ln>
              <a:solidFill>
                <a:schemeClr val="bg1"/>
              </a:solidFill>
              <a:latin typeface="Aptos"/>
            </a:rPr>
            <a:pPr algn="ctr"/>
            <a:t>₹ 20,872</a:t>
          </a:fld>
          <a:endParaRPr lang="en-IN" sz="1100">
            <a:ln>
              <a:noFill/>
            </a:ln>
            <a:solidFill>
              <a:schemeClr val="bg1"/>
            </a:solidFill>
          </a:endParaRPr>
        </a:p>
      </xdr:txBody>
    </xdr:sp>
    <xdr:clientData/>
  </xdr:twoCellAnchor>
  <xdr:twoCellAnchor>
    <xdr:from>
      <xdr:col>2</xdr:col>
      <xdr:colOff>121920</xdr:colOff>
      <xdr:row>17</xdr:row>
      <xdr:rowOff>76200</xdr:rowOff>
    </xdr:from>
    <xdr:to>
      <xdr:col>4</xdr:col>
      <xdr:colOff>259080</xdr:colOff>
      <xdr:row>22</xdr:row>
      <xdr:rowOff>129540</xdr:rowOff>
    </xdr:to>
    <xdr:sp macro="" textlink="Pivot!C4">
      <xdr:nvSpPr>
        <xdr:cNvPr id="10" name="Rectangle 9">
          <a:extLst>
            <a:ext uri="{FF2B5EF4-FFF2-40B4-BE49-F238E27FC236}">
              <a16:creationId xmlns:a16="http://schemas.microsoft.com/office/drawing/2014/main" id="{FBFF2357-DD59-481E-8B25-3AC64D19CDD7}"/>
            </a:ext>
          </a:extLst>
        </xdr:cNvPr>
        <xdr:cNvSpPr/>
      </xdr:nvSpPr>
      <xdr:spPr>
        <a:xfrm>
          <a:off x="312420" y="3177540"/>
          <a:ext cx="1478280" cy="9677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5D861D7-AEF4-4130-BA08-1DF352C58DDE}" type="TxLink">
            <a:rPr lang="en-US" sz="2200" b="0" i="0" u="none" strike="noStrike">
              <a:solidFill>
                <a:schemeClr val="bg1"/>
              </a:solidFill>
              <a:latin typeface="Arial Rounded MT Bold" panose="020F0704030504030204" pitchFamily="34" charset="0"/>
              <a:ea typeface="+mn-ea"/>
              <a:cs typeface="+mn-cs"/>
            </a:rPr>
            <a:pPr marL="0" indent="0" algn="ctr"/>
            <a:t>89,850</a:t>
          </a:fld>
          <a:endParaRPr lang="en-IN" sz="22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2</xdr:col>
      <xdr:colOff>228600</xdr:colOff>
      <xdr:row>17</xdr:row>
      <xdr:rowOff>137160</xdr:rowOff>
    </xdr:from>
    <xdr:to>
      <xdr:col>4</xdr:col>
      <xdr:colOff>167640</xdr:colOff>
      <xdr:row>19</xdr:row>
      <xdr:rowOff>0</xdr:rowOff>
    </xdr:to>
    <xdr:sp macro="" textlink="">
      <xdr:nvSpPr>
        <xdr:cNvPr id="11" name="TextBox 10">
          <a:extLst>
            <a:ext uri="{FF2B5EF4-FFF2-40B4-BE49-F238E27FC236}">
              <a16:creationId xmlns:a16="http://schemas.microsoft.com/office/drawing/2014/main" id="{7B435D6F-1258-49FA-A5AE-ABED7BF9BF35}"/>
            </a:ext>
          </a:extLst>
        </xdr:cNvPr>
        <xdr:cNvSpPr txBox="1"/>
      </xdr:nvSpPr>
      <xdr:spPr>
        <a:xfrm>
          <a:off x="419100" y="3238500"/>
          <a:ext cx="1280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Duration</a:t>
          </a:r>
        </a:p>
        <a:p>
          <a:pPr algn="ctr"/>
          <a:endParaRPr lang="en-IN" sz="1100">
            <a:solidFill>
              <a:schemeClr val="bg1"/>
            </a:solidFill>
          </a:endParaRPr>
        </a:p>
        <a:p>
          <a:endParaRPr lang="en-IN" sz="1100">
            <a:ln>
              <a:noFill/>
            </a:ln>
          </a:endParaRPr>
        </a:p>
        <a:p>
          <a:endParaRPr lang="en-IN" sz="1100"/>
        </a:p>
      </xdr:txBody>
    </xdr:sp>
    <xdr:clientData/>
  </xdr:twoCellAnchor>
  <xdr:twoCellAnchor>
    <xdr:from>
      <xdr:col>2</xdr:col>
      <xdr:colOff>251460</xdr:colOff>
      <xdr:row>21</xdr:row>
      <xdr:rowOff>38100</xdr:rowOff>
    </xdr:from>
    <xdr:to>
      <xdr:col>4</xdr:col>
      <xdr:colOff>160020</xdr:colOff>
      <xdr:row>22</xdr:row>
      <xdr:rowOff>60960</xdr:rowOff>
    </xdr:to>
    <xdr:sp macro="" textlink="Pivot!C12">
      <xdr:nvSpPr>
        <xdr:cNvPr id="13" name="TextBox 12">
          <a:extLst>
            <a:ext uri="{FF2B5EF4-FFF2-40B4-BE49-F238E27FC236}">
              <a16:creationId xmlns:a16="http://schemas.microsoft.com/office/drawing/2014/main" id="{A1F7E75D-B615-4024-8303-8625D99C6E5A}"/>
            </a:ext>
          </a:extLst>
        </xdr:cNvPr>
        <xdr:cNvSpPr txBox="1"/>
      </xdr:nvSpPr>
      <xdr:spPr>
        <a:xfrm>
          <a:off x="441960" y="3870960"/>
          <a:ext cx="12496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93EC35-0B43-4C39-8C38-370C2B65803F}" type="TxLink">
            <a:rPr lang="en-US" sz="1100" b="0" i="0" u="none" strike="noStrike">
              <a:ln>
                <a:noFill/>
              </a:ln>
              <a:solidFill>
                <a:schemeClr val="bg1"/>
              </a:solidFill>
              <a:latin typeface="Aptos"/>
            </a:rPr>
            <a:pPr algn="ctr"/>
            <a:t>17,700</a:t>
          </a:fld>
          <a:endParaRPr lang="en-IN" sz="1100">
            <a:ln>
              <a:noFill/>
            </a:ln>
            <a:solidFill>
              <a:schemeClr val="bg1"/>
            </a:solidFill>
          </a:endParaRPr>
        </a:p>
      </xdr:txBody>
    </xdr:sp>
    <xdr:clientData/>
  </xdr:twoCellAnchor>
  <xdr:twoCellAnchor>
    <xdr:from>
      <xdr:col>7</xdr:col>
      <xdr:colOff>68580</xdr:colOff>
      <xdr:row>22</xdr:row>
      <xdr:rowOff>167640</xdr:rowOff>
    </xdr:from>
    <xdr:to>
      <xdr:col>9</xdr:col>
      <xdr:colOff>7620</xdr:colOff>
      <xdr:row>24</xdr:row>
      <xdr:rowOff>30480</xdr:rowOff>
    </xdr:to>
    <xdr:sp macro="" textlink="">
      <xdr:nvSpPr>
        <xdr:cNvPr id="15" name="TextBox 14">
          <a:extLst>
            <a:ext uri="{FF2B5EF4-FFF2-40B4-BE49-F238E27FC236}">
              <a16:creationId xmlns:a16="http://schemas.microsoft.com/office/drawing/2014/main" id="{7AB3FFEB-AFE8-4AFB-BACA-EE0C9A357F33}"/>
            </a:ext>
          </a:extLst>
        </xdr:cNvPr>
        <xdr:cNvSpPr txBox="1"/>
      </xdr:nvSpPr>
      <xdr:spPr>
        <a:xfrm>
          <a:off x="3611880" y="4183380"/>
          <a:ext cx="1280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76200</xdr:colOff>
      <xdr:row>31</xdr:row>
      <xdr:rowOff>144780</xdr:rowOff>
    </xdr:from>
    <xdr:to>
      <xdr:col>4</xdr:col>
      <xdr:colOff>213360</xdr:colOff>
      <xdr:row>37</xdr:row>
      <xdr:rowOff>15240</xdr:rowOff>
    </xdr:to>
    <xdr:sp macro="" textlink="Pivot!E4">
      <xdr:nvSpPr>
        <xdr:cNvPr id="18" name="Rectangle 17">
          <a:extLst>
            <a:ext uri="{FF2B5EF4-FFF2-40B4-BE49-F238E27FC236}">
              <a16:creationId xmlns:a16="http://schemas.microsoft.com/office/drawing/2014/main" id="{CD0973ED-B7E3-4F60-AF85-B9B3669975F9}"/>
            </a:ext>
          </a:extLst>
        </xdr:cNvPr>
        <xdr:cNvSpPr/>
      </xdr:nvSpPr>
      <xdr:spPr>
        <a:xfrm>
          <a:off x="266700" y="5806440"/>
          <a:ext cx="1478280" cy="9677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3887E3-3A02-4DE5-B772-797B6F397D8F}" type="TxLink">
            <a:rPr lang="en-US" sz="2200" b="0" i="0" u="none" strike="noStrike">
              <a:solidFill>
                <a:schemeClr val="bg1"/>
              </a:solidFill>
              <a:latin typeface="Arial Rounded MT Bold" panose="020F0704030504030204" pitchFamily="34" charset="0"/>
            </a:rPr>
            <a:pPr algn="ctr"/>
            <a:t>307</a:t>
          </a:fld>
          <a:endParaRPr lang="en-IN" sz="2200">
            <a:solidFill>
              <a:schemeClr val="bg1"/>
            </a:solidFill>
            <a:latin typeface="Arial Rounded MT Bold" panose="020F0704030504030204" pitchFamily="34" charset="0"/>
          </a:endParaRPr>
        </a:p>
      </xdr:txBody>
    </xdr:sp>
    <xdr:clientData/>
  </xdr:twoCellAnchor>
  <xdr:twoCellAnchor>
    <xdr:from>
      <xdr:col>2</xdr:col>
      <xdr:colOff>228600</xdr:colOff>
      <xdr:row>32</xdr:row>
      <xdr:rowOff>60960</xdr:rowOff>
    </xdr:from>
    <xdr:to>
      <xdr:col>4</xdr:col>
      <xdr:colOff>167640</xdr:colOff>
      <xdr:row>33</xdr:row>
      <xdr:rowOff>106680</xdr:rowOff>
    </xdr:to>
    <xdr:sp macro="" textlink="">
      <xdr:nvSpPr>
        <xdr:cNvPr id="19" name="TextBox 18">
          <a:extLst>
            <a:ext uri="{FF2B5EF4-FFF2-40B4-BE49-F238E27FC236}">
              <a16:creationId xmlns:a16="http://schemas.microsoft.com/office/drawing/2014/main" id="{0DE38A8A-04BB-413D-8C37-0A4A4E68E6F3}"/>
            </a:ext>
          </a:extLst>
        </xdr:cNvPr>
        <xdr:cNvSpPr txBox="1"/>
      </xdr:nvSpPr>
      <xdr:spPr>
        <a:xfrm>
          <a:off x="419100" y="5905500"/>
          <a:ext cx="1280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Happy</a:t>
          </a:r>
          <a:r>
            <a:rPr lang="en-IN" sz="1100" baseline="0">
              <a:solidFill>
                <a:schemeClr val="bg1"/>
              </a:solidFill>
            </a:rPr>
            <a:t> Caller</a:t>
          </a:r>
        </a:p>
        <a:p>
          <a:pPr algn="ctr"/>
          <a:endParaRPr lang="en-IN" sz="1100">
            <a:solidFill>
              <a:schemeClr val="bg1"/>
            </a:solidFill>
          </a:endParaRPr>
        </a:p>
        <a:p>
          <a:endParaRPr lang="en-IN" sz="1100">
            <a:ln>
              <a:noFill/>
            </a:ln>
          </a:endParaRPr>
        </a:p>
        <a:p>
          <a:endParaRPr lang="en-IN" sz="1100"/>
        </a:p>
      </xdr:txBody>
    </xdr:sp>
    <xdr:clientData/>
  </xdr:twoCellAnchor>
  <xdr:twoCellAnchor>
    <xdr:from>
      <xdr:col>2</xdr:col>
      <xdr:colOff>152400</xdr:colOff>
      <xdr:row>35</xdr:row>
      <xdr:rowOff>91440</xdr:rowOff>
    </xdr:from>
    <xdr:to>
      <xdr:col>4</xdr:col>
      <xdr:colOff>60960</xdr:colOff>
      <xdr:row>36</xdr:row>
      <xdr:rowOff>114300</xdr:rowOff>
    </xdr:to>
    <xdr:sp macro="" textlink="Pivot!E12">
      <xdr:nvSpPr>
        <xdr:cNvPr id="21" name="TextBox 20">
          <a:extLst>
            <a:ext uri="{FF2B5EF4-FFF2-40B4-BE49-F238E27FC236}">
              <a16:creationId xmlns:a16="http://schemas.microsoft.com/office/drawing/2014/main" id="{3203722A-1996-47C9-A6BB-C8FF2E7BF5E3}"/>
            </a:ext>
          </a:extLst>
        </xdr:cNvPr>
        <xdr:cNvSpPr txBox="1"/>
      </xdr:nvSpPr>
      <xdr:spPr>
        <a:xfrm>
          <a:off x="342900" y="6484620"/>
          <a:ext cx="12496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18D5CA-DB3D-4EBD-8FED-3616BF3357C9}" type="TxLink">
            <a:rPr lang="en-US" sz="1100" b="0" i="0" u="none" strike="noStrike">
              <a:ln>
                <a:noFill/>
              </a:ln>
              <a:solidFill>
                <a:schemeClr val="bg1"/>
              </a:solidFill>
              <a:latin typeface="Aptos"/>
            </a:rPr>
            <a:pPr algn="ctr"/>
            <a:t>60</a:t>
          </a:fld>
          <a:endParaRPr lang="en-IN" sz="1100">
            <a:ln>
              <a:noFill/>
            </a:ln>
            <a:solidFill>
              <a:schemeClr val="bg1"/>
            </a:solidFill>
          </a:endParaRPr>
        </a:p>
      </xdr:txBody>
    </xdr:sp>
    <xdr:clientData/>
  </xdr:twoCellAnchor>
  <xdr:twoCellAnchor editAs="oneCell">
    <xdr:from>
      <xdr:col>2</xdr:col>
      <xdr:colOff>327660</xdr:colOff>
      <xdr:row>10</xdr:row>
      <xdr:rowOff>99061</xdr:rowOff>
    </xdr:from>
    <xdr:to>
      <xdr:col>2</xdr:col>
      <xdr:colOff>580708</xdr:colOff>
      <xdr:row>11</xdr:row>
      <xdr:rowOff>160020</xdr:rowOff>
    </xdr:to>
    <xdr:pic>
      <xdr:nvPicPr>
        <xdr:cNvPr id="22" name="Graphic 21" descr="Shopping cart with solid fill">
          <a:extLst>
            <a:ext uri="{FF2B5EF4-FFF2-40B4-BE49-F238E27FC236}">
              <a16:creationId xmlns:a16="http://schemas.microsoft.com/office/drawing/2014/main" id="{831528D7-8C31-4E15-A367-050E7F575E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18160" y="1920241"/>
          <a:ext cx="253048" cy="243839"/>
        </a:xfrm>
        <a:prstGeom prst="rect">
          <a:avLst/>
        </a:prstGeom>
      </xdr:spPr>
    </xdr:pic>
    <xdr:clientData/>
  </xdr:twoCellAnchor>
  <xdr:twoCellAnchor editAs="oneCell">
    <xdr:from>
      <xdr:col>2</xdr:col>
      <xdr:colOff>335280</xdr:colOff>
      <xdr:row>17</xdr:row>
      <xdr:rowOff>152401</xdr:rowOff>
    </xdr:from>
    <xdr:to>
      <xdr:col>2</xdr:col>
      <xdr:colOff>579120</xdr:colOff>
      <xdr:row>19</xdr:row>
      <xdr:rowOff>27523</xdr:rowOff>
    </xdr:to>
    <xdr:pic>
      <xdr:nvPicPr>
        <xdr:cNvPr id="23" name="Graphic 22" descr="Hourglass Finished with solid fill">
          <a:extLst>
            <a:ext uri="{FF2B5EF4-FFF2-40B4-BE49-F238E27FC236}">
              <a16:creationId xmlns:a16="http://schemas.microsoft.com/office/drawing/2014/main" id="{5FAD7509-322A-48DB-AF13-F3B745BCABF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5780" y="3253741"/>
          <a:ext cx="243840" cy="240882"/>
        </a:xfrm>
        <a:prstGeom prst="rect">
          <a:avLst/>
        </a:prstGeom>
      </xdr:spPr>
    </xdr:pic>
    <xdr:clientData/>
  </xdr:twoCellAnchor>
  <xdr:twoCellAnchor editAs="oneCell">
    <xdr:from>
      <xdr:col>2</xdr:col>
      <xdr:colOff>129541</xdr:colOff>
      <xdr:row>32</xdr:row>
      <xdr:rowOff>38101</xdr:rowOff>
    </xdr:from>
    <xdr:to>
      <xdr:col>2</xdr:col>
      <xdr:colOff>410681</xdr:colOff>
      <xdr:row>33</xdr:row>
      <xdr:rowOff>129540</xdr:rowOff>
    </xdr:to>
    <xdr:pic>
      <xdr:nvPicPr>
        <xdr:cNvPr id="27" name="Graphic 26" descr="Star-struck face outline with solid fill">
          <a:extLst>
            <a:ext uri="{FF2B5EF4-FFF2-40B4-BE49-F238E27FC236}">
              <a16:creationId xmlns:a16="http://schemas.microsoft.com/office/drawing/2014/main" id="{CADDD535-E4A3-4E92-944A-98D02831754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0041" y="5882641"/>
          <a:ext cx="281140" cy="274319"/>
        </a:xfrm>
        <a:prstGeom prst="rect">
          <a:avLst/>
        </a:prstGeom>
      </xdr:spPr>
    </xdr:pic>
    <xdr:clientData/>
  </xdr:twoCellAnchor>
  <xdr:twoCellAnchor>
    <xdr:from>
      <xdr:col>2</xdr:col>
      <xdr:colOff>129540</xdr:colOff>
      <xdr:row>24</xdr:row>
      <xdr:rowOff>114300</xdr:rowOff>
    </xdr:from>
    <xdr:to>
      <xdr:col>4</xdr:col>
      <xdr:colOff>266700</xdr:colOff>
      <xdr:row>29</xdr:row>
      <xdr:rowOff>167640</xdr:rowOff>
    </xdr:to>
    <xdr:sp macro="" textlink="Pivot!D4">
      <xdr:nvSpPr>
        <xdr:cNvPr id="29" name="Rectangle 28">
          <a:extLst>
            <a:ext uri="{FF2B5EF4-FFF2-40B4-BE49-F238E27FC236}">
              <a16:creationId xmlns:a16="http://schemas.microsoft.com/office/drawing/2014/main" id="{E8C8C69F-7B2E-4937-83B8-76B1F2648C66}"/>
            </a:ext>
          </a:extLst>
        </xdr:cNvPr>
        <xdr:cNvSpPr/>
      </xdr:nvSpPr>
      <xdr:spPr>
        <a:xfrm>
          <a:off x="320040" y="4495800"/>
          <a:ext cx="1478280" cy="96774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C72CA19-15C0-4C08-AA6F-8B03B84DE5C1}" type="TxLink">
            <a:rPr lang="en-US" sz="2200" b="0" i="0" u="none" strike="noStrike">
              <a:solidFill>
                <a:schemeClr val="bg1"/>
              </a:solidFill>
              <a:latin typeface="Arial Rounded MT Bold" panose="020F0704030504030204" pitchFamily="34" charset="0"/>
              <a:ea typeface="+mn-ea"/>
              <a:cs typeface="+mn-cs"/>
            </a:rPr>
            <a:pPr marL="0" indent="0" algn="ctr"/>
            <a:t>3.9</a:t>
          </a:fld>
          <a:endParaRPr lang="en-IN" sz="2200" b="0" i="0" u="none" strike="noStrike">
            <a:solidFill>
              <a:schemeClr val="bg1"/>
            </a:solidFill>
            <a:latin typeface="Arial Rounded MT Bold" panose="020F0704030504030204" pitchFamily="34" charset="0"/>
            <a:ea typeface="+mn-ea"/>
            <a:cs typeface="+mn-cs"/>
          </a:endParaRPr>
        </a:p>
      </xdr:txBody>
    </xdr:sp>
    <xdr:clientData/>
  </xdr:twoCellAnchor>
  <xdr:twoCellAnchor>
    <xdr:from>
      <xdr:col>2</xdr:col>
      <xdr:colOff>236220</xdr:colOff>
      <xdr:row>25</xdr:row>
      <xdr:rowOff>0</xdr:rowOff>
    </xdr:from>
    <xdr:to>
      <xdr:col>4</xdr:col>
      <xdr:colOff>175260</xdr:colOff>
      <xdr:row>26</xdr:row>
      <xdr:rowOff>45720</xdr:rowOff>
    </xdr:to>
    <xdr:sp macro="" textlink="">
      <xdr:nvSpPr>
        <xdr:cNvPr id="30" name="TextBox 29">
          <a:extLst>
            <a:ext uri="{FF2B5EF4-FFF2-40B4-BE49-F238E27FC236}">
              <a16:creationId xmlns:a16="http://schemas.microsoft.com/office/drawing/2014/main" id="{53F6E60C-E668-4EC5-A2F8-EBF6E4193659}"/>
            </a:ext>
          </a:extLst>
        </xdr:cNvPr>
        <xdr:cNvSpPr txBox="1"/>
      </xdr:nvSpPr>
      <xdr:spPr>
        <a:xfrm>
          <a:off x="426720" y="4564380"/>
          <a:ext cx="1280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Avg.Rating</a:t>
          </a:r>
        </a:p>
        <a:p>
          <a:pPr algn="ctr"/>
          <a:endParaRPr lang="en-IN" sz="1100">
            <a:solidFill>
              <a:schemeClr val="bg1"/>
            </a:solidFill>
          </a:endParaRPr>
        </a:p>
        <a:p>
          <a:pPr algn="ctr"/>
          <a:endParaRPr lang="en-IN" sz="1100">
            <a:solidFill>
              <a:schemeClr val="bg1"/>
            </a:solidFill>
          </a:endParaRPr>
        </a:p>
        <a:p>
          <a:endParaRPr lang="en-IN" sz="1100">
            <a:ln>
              <a:noFill/>
            </a:ln>
          </a:endParaRPr>
        </a:p>
        <a:p>
          <a:endParaRPr lang="en-IN" sz="1100"/>
        </a:p>
      </xdr:txBody>
    </xdr:sp>
    <xdr:clientData/>
  </xdr:twoCellAnchor>
  <xdr:twoCellAnchor>
    <xdr:from>
      <xdr:col>2</xdr:col>
      <xdr:colOff>259080</xdr:colOff>
      <xdr:row>28</xdr:row>
      <xdr:rowOff>76200</xdr:rowOff>
    </xdr:from>
    <xdr:to>
      <xdr:col>4</xdr:col>
      <xdr:colOff>167640</xdr:colOff>
      <xdr:row>29</xdr:row>
      <xdr:rowOff>99060</xdr:rowOff>
    </xdr:to>
    <xdr:sp macro="" textlink="Pivot!D12">
      <xdr:nvSpPr>
        <xdr:cNvPr id="31" name="TextBox 30">
          <a:extLst>
            <a:ext uri="{FF2B5EF4-FFF2-40B4-BE49-F238E27FC236}">
              <a16:creationId xmlns:a16="http://schemas.microsoft.com/office/drawing/2014/main" id="{095E9A90-954A-41C4-B85F-E982327E9B00}"/>
            </a:ext>
          </a:extLst>
        </xdr:cNvPr>
        <xdr:cNvSpPr txBox="1"/>
      </xdr:nvSpPr>
      <xdr:spPr>
        <a:xfrm>
          <a:off x="449580" y="5189220"/>
          <a:ext cx="12496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CEF2BA-803F-47CA-B2A8-D3BA698C8FD5}" type="TxLink">
            <a:rPr lang="en-US" sz="1100" b="0" i="0" u="none" strike="noStrike">
              <a:ln>
                <a:noFill/>
              </a:ln>
              <a:solidFill>
                <a:schemeClr val="bg1"/>
              </a:solidFill>
              <a:latin typeface="Aptos"/>
            </a:rPr>
            <a:pPr algn="ctr"/>
            <a:t>3.9</a:t>
          </a:fld>
          <a:endParaRPr lang="en-IN" sz="1100">
            <a:ln>
              <a:noFill/>
            </a:ln>
            <a:solidFill>
              <a:schemeClr val="bg1"/>
            </a:solidFill>
          </a:endParaRPr>
        </a:p>
      </xdr:txBody>
    </xdr:sp>
    <xdr:clientData/>
  </xdr:twoCellAnchor>
  <xdr:twoCellAnchor editAs="oneCell">
    <xdr:from>
      <xdr:col>2</xdr:col>
      <xdr:colOff>205740</xdr:colOff>
      <xdr:row>24</xdr:row>
      <xdr:rowOff>168039</xdr:rowOff>
    </xdr:from>
    <xdr:to>
      <xdr:col>2</xdr:col>
      <xdr:colOff>519567</xdr:colOff>
      <xdr:row>26</xdr:row>
      <xdr:rowOff>68581</xdr:rowOff>
    </xdr:to>
    <xdr:pic>
      <xdr:nvPicPr>
        <xdr:cNvPr id="33" name="Graphic 32" descr="Rating Star with solid fill">
          <a:extLst>
            <a:ext uri="{FF2B5EF4-FFF2-40B4-BE49-F238E27FC236}">
              <a16:creationId xmlns:a16="http://schemas.microsoft.com/office/drawing/2014/main" id="{A26DD7BD-8331-46CD-8D33-A60576F837D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96240" y="4549539"/>
          <a:ext cx="313827" cy="266302"/>
        </a:xfrm>
        <a:prstGeom prst="rect">
          <a:avLst/>
        </a:prstGeom>
      </xdr:spPr>
    </xdr:pic>
    <xdr:clientData/>
  </xdr:twoCellAnchor>
  <xdr:twoCellAnchor editAs="oneCell">
    <xdr:from>
      <xdr:col>15</xdr:col>
      <xdr:colOff>121920</xdr:colOff>
      <xdr:row>16</xdr:row>
      <xdr:rowOff>114301</xdr:rowOff>
    </xdr:from>
    <xdr:to>
      <xdr:col>17</xdr:col>
      <xdr:colOff>7620</xdr:colOff>
      <xdr:row>26</xdr:row>
      <xdr:rowOff>106680</xdr:rowOff>
    </xdr:to>
    <mc:AlternateContent xmlns:mc="http://schemas.openxmlformats.org/markup-compatibility/2006" xmlns:a14="http://schemas.microsoft.com/office/drawing/2010/main">
      <mc:Choice Requires="a14">
        <xdr:graphicFrame macro="">
          <xdr:nvGraphicFramePr>
            <xdr:cNvPr id="34" name="Representative 1">
              <a:extLst>
                <a:ext uri="{FF2B5EF4-FFF2-40B4-BE49-F238E27FC236}">
                  <a16:creationId xmlns:a16="http://schemas.microsoft.com/office/drawing/2014/main" id="{00549855-13C1-44B8-B994-D79CDB63B246}"/>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9029700" y="3032761"/>
              <a:ext cx="1226820" cy="1821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251460</xdr:colOff>
      <xdr:row>2</xdr:row>
      <xdr:rowOff>68580</xdr:rowOff>
    </xdr:from>
    <xdr:to>
      <xdr:col>14</xdr:col>
      <xdr:colOff>129540</xdr:colOff>
      <xdr:row>13</xdr:row>
      <xdr:rowOff>91440</xdr:rowOff>
    </xdr:to>
    <xdr:graphicFrame macro="">
      <xdr:nvGraphicFramePr>
        <xdr:cNvPr id="36" name="Chart 35">
          <a:extLst>
            <a:ext uri="{FF2B5EF4-FFF2-40B4-BE49-F238E27FC236}">
              <a16:creationId xmlns:a16="http://schemas.microsoft.com/office/drawing/2014/main" id="{AD7F009C-14F0-40D4-9DE3-DE60F6AD3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381000</xdr:colOff>
      <xdr:row>2</xdr:row>
      <xdr:rowOff>68580</xdr:rowOff>
    </xdr:from>
    <xdr:to>
      <xdr:col>10</xdr:col>
      <xdr:colOff>373380</xdr:colOff>
      <xdr:row>13</xdr:row>
      <xdr:rowOff>106680</xdr:rowOff>
    </xdr:to>
    <xdr:graphicFrame macro="">
      <xdr:nvGraphicFramePr>
        <xdr:cNvPr id="35" name="Chart 34">
          <a:extLst>
            <a:ext uri="{FF2B5EF4-FFF2-40B4-BE49-F238E27FC236}">
              <a16:creationId xmlns:a16="http://schemas.microsoft.com/office/drawing/2014/main" id="{C9CA0055-3D33-4204-81F7-7A60ED57E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662940</xdr:colOff>
      <xdr:row>16</xdr:row>
      <xdr:rowOff>15240</xdr:rowOff>
    </xdr:from>
    <xdr:to>
      <xdr:col>14</xdr:col>
      <xdr:colOff>579120</xdr:colOff>
      <xdr:row>28</xdr:row>
      <xdr:rowOff>91440</xdr:rowOff>
    </xdr:to>
    <xdr:sp macro="" textlink="">
      <xdr:nvSpPr>
        <xdr:cNvPr id="14" name="Rectangle 13">
          <a:extLst>
            <a:ext uri="{FF2B5EF4-FFF2-40B4-BE49-F238E27FC236}">
              <a16:creationId xmlns:a16="http://schemas.microsoft.com/office/drawing/2014/main" id="{519D88BE-FF45-B54B-59D5-C95135EDBEAC}"/>
            </a:ext>
          </a:extLst>
        </xdr:cNvPr>
        <xdr:cNvSpPr/>
      </xdr:nvSpPr>
      <xdr:spPr>
        <a:xfrm>
          <a:off x="2194560" y="2933700"/>
          <a:ext cx="6621780" cy="22707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16</xdr:row>
      <xdr:rowOff>0</xdr:rowOff>
    </xdr:from>
    <xdr:to>
      <xdr:col>9</xdr:col>
      <xdr:colOff>622472</xdr:colOff>
      <xdr:row>28</xdr:row>
      <xdr:rowOff>48706</xdr:rowOff>
    </xdr:to>
    <xdr:graphicFrame macro="">
      <xdr:nvGraphicFramePr>
        <xdr:cNvPr id="8" name="Chart 7">
          <a:extLst>
            <a:ext uri="{FF2B5EF4-FFF2-40B4-BE49-F238E27FC236}">
              <a16:creationId xmlns:a16="http://schemas.microsoft.com/office/drawing/2014/main" id="{5B914A4C-68AC-4B99-8DAE-5EF7D689C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594360</xdr:colOff>
      <xdr:row>16</xdr:row>
      <xdr:rowOff>0</xdr:rowOff>
    </xdr:from>
    <xdr:to>
      <xdr:col>14</xdr:col>
      <xdr:colOff>547507</xdr:colOff>
      <xdr:row>28</xdr:row>
      <xdr:rowOff>48706</xdr:rowOff>
    </xdr:to>
    <xdr:graphicFrame macro="">
      <xdr:nvGraphicFramePr>
        <xdr:cNvPr id="12" name="Chart 11">
          <a:extLst>
            <a:ext uri="{FF2B5EF4-FFF2-40B4-BE49-F238E27FC236}">
              <a16:creationId xmlns:a16="http://schemas.microsoft.com/office/drawing/2014/main" id="{1EA46684-94A5-4392-932C-CDD3F78AA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259080</xdr:colOff>
      <xdr:row>0</xdr:row>
      <xdr:rowOff>160020</xdr:rowOff>
    </xdr:from>
    <xdr:to>
      <xdr:col>18</xdr:col>
      <xdr:colOff>594360</xdr:colOff>
      <xdr:row>12</xdr:row>
      <xdr:rowOff>99060</xdr:rowOff>
    </xdr:to>
    <xdr:graphicFrame macro="">
      <xdr:nvGraphicFramePr>
        <xdr:cNvPr id="17" name="Chart 16">
          <a:extLst>
            <a:ext uri="{FF2B5EF4-FFF2-40B4-BE49-F238E27FC236}">
              <a16:creationId xmlns:a16="http://schemas.microsoft.com/office/drawing/2014/main" id="{8ABBE819-8012-49B4-BE1F-A62E3962F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99060</xdr:colOff>
      <xdr:row>0</xdr:row>
      <xdr:rowOff>160020</xdr:rowOff>
    </xdr:from>
    <xdr:to>
      <xdr:col>22</xdr:col>
      <xdr:colOff>114300</xdr:colOff>
      <xdr:row>12</xdr:row>
      <xdr:rowOff>175260</xdr:rowOff>
    </xdr:to>
    <xdr:graphicFrame macro="">
      <xdr:nvGraphicFramePr>
        <xdr:cNvPr id="20" name="Chart 19">
          <a:extLst>
            <a:ext uri="{FF2B5EF4-FFF2-40B4-BE49-F238E27FC236}">
              <a16:creationId xmlns:a16="http://schemas.microsoft.com/office/drawing/2014/main" id="{202A9ED6-4867-4586-A799-5A060D224B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6.576352199074" backgroundQuery="1" createdVersion="8" refreshedVersion="8" minRefreshableVersion="3" recordCount="0" supportSubquery="1" supportAdvancedDrill="1" xr:uid="{2354A585-9528-4AE7-AD62-1FC79D77E10A}">
  <cacheSource type="external" connectionId="2"/>
  <cacheFields count="2">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6.570265625" backgroundQuery="1" createdVersion="8" refreshedVersion="8" minRefreshableVersion="3" recordCount="0" supportSubquery="1" supportAdvancedDrill="1" xr:uid="{96890AF1-2F6A-4623-8B26-0B5024AD463F}">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6.49041539352" backgroundQuery="1" createdVersion="8" refreshedVersion="8" minRefreshableVersion="3" recordCount="0" supportSubquery="1" supportAdvancedDrill="1" xr:uid="{2212D829-DB64-4AC8-98DE-5B0B4CC39D65}">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5.852058217592" backgroundQuery="1" createdVersion="8" refreshedVersion="8" minRefreshableVersion="3" recordCount="0" supportSubquery="1" supportAdvancedDrill="1" xr:uid="{D804EFEC-1CF0-4E1C-8AC9-AA8F12A26109}">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6.595779513889" backgroundQuery="1" createdVersion="8" refreshedVersion="8" minRefreshableVersion="3" recordCount="0" supportSubquery="1" supportAdvancedDrill="1" xr:uid="{593C82D2-CBAC-40F7-B4E8-8AED748A1A74}">
  <cacheSource type="external" connectionId="2"/>
  <cacheFields count="4">
    <cacheField name="[customers].[City].[City]" caption="City" numFmtId="0" hierarchy="15"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1"/>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539175694445" backgroundQuery="1" createdVersion="8" refreshedVersion="8" minRefreshableVersion="3" recordCount="0" supportSubquery="1" supportAdvancedDrill="1" xr:uid="{13DCAE86-3543-4546-8C07-84D7A4810771}">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539178356485" backgroundQuery="1" createdVersion="8" refreshedVersion="8" minRefreshableVersion="3" recordCount="0" supportSubquery="1" supportAdvancedDrill="1" xr:uid="{34D48A84-C7DD-4711-A6FF-9BAF90892F8A}">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539179629632" backgroundQuery="1" createdVersion="8" refreshedVersion="8" minRefreshableVersion="3" recordCount="0" supportSubquery="1" supportAdvancedDrill="1" xr:uid="{8AB3EE6E-16E6-4EFD-9464-C3F0B74C61FB}">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42.53918078704" backgroundQuery="1" createdVersion="8" refreshedVersion="8" minRefreshableVersion="3" recordCount="0" supportSubquery="1" supportAdvancedDrill="1" xr:uid="{7D4DE3F1-1811-4200-9652-ED675E78FBC9}">
  <cacheSource type="external" connectionId="2"/>
  <cacheFields count="1">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05.852050925925" backgroundQuery="1" createdVersion="3" refreshedVersion="8" minRefreshableVersion="3" recordCount="0" supportSubquery="1" supportAdvancedDrill="1" xr:uid="{D92048EC-4F3D-4DC9-89BC-AEE7F5351FED}">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80355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BDA2D8-0A0A-46F1-8F38-C5B68D30B855}" name="Monthly Trend"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38:C5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8665AC-4028-4947-B221-F246416B787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7:D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97B30A-7E3E-450C-8503-8C8A3F1781C7}" name="Rep pivot"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5CF817-5B88-4FA6-8F82-548EF9A0285D}" name="Summary Pivo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87AC51-EC0D-4196-A856-98D26A3F7BE9}" name="Selected rep pivot" cacheId="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7:A6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6">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D11646-7A8B-4000-90B7-8C29954F208C}" name="Reps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6:C6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B6289F-C2C1-418E-8965-094D844DE2E4}" name="Weekday Trend"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F38:G4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4">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6B0FDF-385B-40E5-BDB2-6BB914EB0F2D}" name="Rep amounts"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5">
  <location ref="A99:G118"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79FC62-F249-4DC4-A2AA-B3CE0D4A3464}" name="Rep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9:B96"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D1D113B-1131-4422-832D-45FB0125CF43}"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52449C6-A43A-441E-A562-D76F73DB7F4F}" sourceName="[calls].[Representative]">
  <pivotTables>
    <pivotTable tabId="3" name="Rep pivot"/>
    <pivotTable tabId="3" name="Monthly Trend"/>
    <pivotTable tabId="3" name="Weekday Trend"/>
    <pivotTable tabId="3" name="Selected rep pivot"/>
  </pivotTables>
  <data>
    <olap pivotCacheId="188803551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1F6791B-4A30-4E35-BBF6-C93A3FA1D1B9}"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33C56FE4-02BE-42EA-932D-CC64EAC36054}" cache="Slicer_Representative" caption="Representative" level="1" style="SlicerStyleDark5" rowHeight="2476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309BA4-E40A-4598-BF85-087A370597BE}" name="calls" displayName="calls" ref="B3:L1003" totalsRowShown="0">
  <autoFilter ref="B3:L1003" xr:uid="{98309BA4-E40A-4598-BF85-087A370597BE}"/>
  <tableColumns count="11">
    <tableColumn id="1" xr3:uid="{0EE5E449-150C-4BD3-92BC-F9CB3F817A96}" name="Call number"/>
    <tableColumn id="2" xr3:uid="{551B2E2B-CE81-47E3-8B2D-6329F6F9D1F5}" name="Customer ID"/>
    <tableColumn id="3" xr3:uid="{283CCFDA-6E4C-46B0-A9E6-86374DFDE35C}" name="Duration"/>
    <tableColumn id="4" xr3:uid="{876026FD-FD69-4E49-B6BF-EE74C540720E}" name="Representative" dataDxfId="15"/>
    <tableColumn id="5" xr3:uid="{B1EAD357-411F-43FB-B6B1-7772B5851A9A}" name="Date of Call" dataDxfId="14"/>
    <tableColumn id="6" xr3:uid="{9B62FB12-1120-4895-B0BE-3546A810F526}" name="Purchase Amount"/>
    <tableColumn id="7" xr3:uid="{9E9C86C0-9649-4F4D-9A9C-4E0E06E687C8}" name="Satisfaction Rating"/>
    <tableColumn id="8" xr3:uid="{E79E8B02-BD28-45BC-B369-8CEEDEE311CC}" name="FY" dataDxfId="13">
      <calculatedColumnFormula>IF(MONTH(calls[[#This Row],[Date of Call]])&lt;=6, YEAR(calls[[#This Row],[Date of Call]]), YEAR(calls[[#This Row],[Date of Call]])+1)</calculatedColumnFormula>
    </tableColumn>
    <tableColumn id="9" xr3:uid="{811CAC4B-A55D-47F8-B037-692A5A44B76F}" name="Day of week" dataDxfId="12">
      <calculatedColumnFormula>TEXT(calls[[#This Row],[Date of Call]],"DDDD")</calculatedColumnFormula>
    </tableColumn>
    <tableColumn id="10" xr3:uid="{22F85DAF-153B-4143-9C17-2D3BB01ADD69}"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D2818B2E-F1DB-40B6-AD19-5A4E62EC48CF}"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85188C-183F-412F-BD03-B8432524A020}" name="customers" displayName="customers" ref="Q3:T18" totalsRowShown="0" headerRowDxfId="9" headerRowBorderDxfId="8" tableBorderDxfId="7" totalsRowBorderDxfId="6">
  <autoFilter ref="Q3:T18" xr:uid="{0F85188C-183F-412F-BD03-B8432524A020}"/>
  <tableColumns count="4">
    <tableColumn id="1" xr3:uid="{4CE8E8B6-C4AF-4FE7-B2DA-D6181896B27B}" name="Customer ID" dataDxfId="5"/>
    <tableColumn id="2" xr3:uid="{29FFFF6B-BFD0-4087-B8DC-25BD4C0F4DFA}" name="Gedner" dataDxfId="4"/>
    <tableColumn id="3" xr3:uid="{09AA726B-8346-4E1B-98A0-F5FA56838CAD}" name="Age" dataDxfId="3"/>
    <tableColumn id="4" xr3:uid="{1EFD92F5-5144-4796-9717-E3AC7B722A06}" name="City"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41A225-06F1-42DF-AF2B-3ACA0C96F031}" name="Table_ExternalData_1" displayName="Table_ExternalData_1" ref="A3:M19" tableType="queryTable" totalsRowShown="0">
  <autoFilter ref="A3:M19" xr:uid="{7E41A225-06F1-42DF-AF2B-3ACA0C96F031}"/>
  <tableColumns count="13">
    <tableColumn id="1" xr3:uid="{964FA9A0-3A57-4312-94B8-23A9FFFB542A}" uniqueName="1" name="calls[Call number]" queryTableFieldId="1"/>
    <tableColumn id="2" xr3:uid="{43A1AFE6-BDCD-452F-AEFA-ADA76F6275BD}" uniqueName="2" name="calls[Customer ID]" queryTableFieldId="2"/>
    <tableColumn id="3" xr3:uid="{93ACC62B-4740-446B-B0A7-D14D31AA697B}" uniqueName="3" name="calls[Duration]" queryTableFieldId="3"/>
    <tableColumn id="4" xr3:uid="{D5B48471-29A9-4A42-8C90-19B6075EA266}" uniqueName="4" name="calls[Representative]" queryTableFieldId="4"/>
    <tableColumn id="5" xr3:uid="{74B3C416-36AF-4B06-8B30-6C1E1116FA9B}" uniqueName="5" name="calls[Date of Call]" queryTableFieldId="5" dataDxfId="17"/>
    <tableColumn id="6" xr3:uid="{11CC2B9C-B13B-43C5-99EE-9905118C794D}" uniqueName="6" name="calls[Purchase Amount]" queryTableFieldId="6"/>
    <tableColumn id="7" xr3:uid="{275115F2-F2AC-4250-9DC2-37333C475050}" uniqueName="7" name="calls[Satisfaction Rating]" queryTableFieldId="7"/>
    <tableColumn id="8" xr3:uid="{21EC0338-9038-452A-9ADF-A5B78131516F}" uniqueName="8" name="calls[FY]" queryTableFieldId="8"/>
    <tableColumn id="9" xr3:uid="{CB3BD6A8-B3EB-4A7C-A7C5-9AF787198F20}" uniqueName="9" name="calls[Day of week]" queryTableFieldId="9"/>
    <tableColumn id="10" xr3:uid="{53D2F80C-D90D-4618-8E10-97600A7C437C}" uniqueName="10" name="calls[Duration Bucket]" queryTableFieldId="10"/>
    <tableColumn id="11" xr3:uid="{C18A699F-577C-4CB7-81B2-04CD8046ED69}" uniqueName="11" name="calls[Rating rounded]" queryTableFieldId="11"/>
    <tableColumn id="12" xr3:uid="{4BA09F3A-026A-40D6-A046-364811AA9C14}" uniqueName="12" name="calls[Date of Call (Month)]" queryTableFieldId="12"/>
    <tableColumn id="13" xr3:uid="{4C1A56AE-5F82-40FE-93D6-F53367048156}" uniqueName="13" name="calls[Date of Call (Month Index)]"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ptos Display"/>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1003"/>
  <sheetViews>
    <sheetView topLeftCell="B1" workbookViewId="0">
      <selection activeCell="B100" sqref="B100"/>
    </sheetView>
  </sheetViews>
  <sheetFormatPr defaultRowHeight="14.4" x14ac:dyDescent="0.3"/>
  <cols>
    <col min="1" max="1" width="3.5" customWidth="1"/>
    <col min="2" max="2" width="16.09765625" customWidth="1"/>
    <col min="3" max="3" width="14.296875" customWidth="1"/>
    <col min="4" max="4" width="18.3984375" customWidth="1"/>
    <col min="5" max="5" width="16.59765625" customWidth="1"/>
    <col min="6" max="6" width="17.796875" customWidth="1"/>
    <col min="7" max="7" width="19" customWidth="1"/>
    <col min="8" max="8" width="20.3984375" customWidth="1"/>
    <col min="9" max="9" width="19" customWidth="1"/>
    <col min="10" max="12" width="17.09765625" customWidth="1"/>
    <col min="13" max="16" width="8.296875" customWidth="1"/>
    <col min="17" max="17" width="16.09765625" customWidth="1"/>
    <col min="20" max="20" width="11.69921875" customWidth="1"/>
  </cols>
  <sheetData>
    <row r="1" spans="2:20" s="1" customFormat="1" ht="48" customHeight="1" x14ac:dyDescent="0.3">
      <c r="B1" s="2" t="s">
        <v>0</v>
      </c>
    </row>
    <row r="2" spans="2:20" x14ac:dyDescent="0.3">
      <c r="R2" s="3"/>
    </row>
    <row r="3" spans="2:20" x14ac:dyDescent="0.3">
      <c r="B3" s="4" t="s">
        <v>1</v>
      </c>
      <c r="C3" s="4" t="s">
        <v>2</v>
      </c>
      <c r="D3" s="5" t="s">
        <v>3</v>
      </c>
      <c r="E3" s="6" t="s">
        <v>4</v>
      </c>
      <c r="F3" s="6" t="s">
        <v>5</v>
      </c>
      <c r="G3" s="4" t="s">
        <v>6</v>
      </c>
      <c r="H3" s="4" t="s">
        <v>7</v>
      </c>
      <c r="I3" t="s">
        <v>8</v>
      </c>
      <c r="J3" t="s">
        <v>9</v>
      </c>
      <c r="K3" t="s">
        <v>10</v>
      </c>
      <c r="L3" t="s">
        <v>11</v>
      </c>
      <c r="Q3" s="7" t="s">
        <v>2</v>
      </c>
      <c r="R3" s="8" t="s">
        <v>12</v>
      </c>
      <c r="S3" s="8" t="s">
        <v>13</v>
      </c>
      <c r="T3" s="9" t="s">
        <v>14</v>
      </c>
    </row>
    <row r="4" spans="2:20" x14ac:dyDescent="0.3">
      <c r="B4" t="s">
        <v>15</v>
      </c>
      <c r="C4" t="s">
        <v>16</v>
      </c>
      <c r="D4">
        <v>116</v>
      </c>
      <c r="E4" s="10" t="s">
        <v>17</v>
      </c>
      <c r="F4" s="11">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12" t="s">
        <v>18</v>
      </c>
      <c r="R4" s="13" t="s">
        <v>19</v>
      </c>
      <c r="S4" s="14">
        <v>41</v>
      </c>
      <c r="T4" s="15" t="s">
        <v>20</v>
      </c>
    </row>
    <row r="5" spans="2:20" x14ac:dyDescent="0.3">
      <c r="B5" t="s">
        <v>21</v>
      </c>
      <c r="C5" t="s">
        <v>22</v>
      </c>
      <c r="D5">
        <v>119</v>
      </c>
      <c r="E5" s="10" t="s">
        <v>17</v>
      </c>
      <c r="F5" s="11">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12" t="s">
        <v>23</v>
      </c>
      <c r="R5" s="13" t="s">
        <v>19</v>
      </c>
      <c r="S5" s="14">
        <v>31</v>
      </c>
      <c r="T5" s="15" t="s">
        <v>24</v>
      </c>
    </row>
    <row r="6" spans="2:20" x14ac:dyDescent="0.3">
      <c r="B6" t="s">
        <v>25</v>
      </c>
      <c r="C6" t="s">
        <v>26</v>
      </c>
      <c r="D6">
        <v>68</v>
      </c>
      <c r="E6" s="10" t="s">
        <v>27</v>
      </c>
      <c r="F6" s="11">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12" t="s">
        <v>16</v>
      </c>
      <c r="R6" s="13" t="s">
        <v>19</v>
      </c>
      <c r="S6" s="14">
        <v>26</v>
      </c>
      <c r="T6" s="15" t="s">
        <v>28</v>
      </c>
    </row>
    <row r="7" spans="2:20" x14ac:dyDescent="0.3">
      <c r="B7" t="s">
        <v>29</v>
      </c>
      <c r="C7" t="s">
        <v>30</v>
      </c>
      <c r="D7">
        <v>119</v>
      </c>
      <c r="E7" s="10" t="s">
        <v>27</v>
      </c>
      <c r="F7" s="11">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12" t="s">
        <v>22</v>
      </c>
      <c r="R7" s="13" t="s">
        <v>19</v>
      </c>
      <c r="S7" s="14">
        <v>36</v>
      </c>
      <c r="T7" s="15" t="s">
        <v>28</v>
      </c>
    </row>
    <row r="8" spans="2:20" x14ac:dyDescent="0.3">
      <c r="B8" t="s">
        <v>31</v>
      </c>
      <c r="C8" t="s">
        <v>32</v>
      </c>
      <c r="D8">
        <v>128</v>
      </c>
      <c r="E8" s="10" t="s">
        <v>33</v>
      </c>
      <c r="F8" s="11">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12" t="s">
        <v>26</v>
      </c>
      <c r="R8" s="13" t="s">
        <v>19</v>
      </c>
      <c r="S8" s="14">
        <v>37</v>
      </c>
      <c r="T8" s="15" t="s">
        <v>20</v>
      </c>
    </row>
    <row r="9" spans="2:20" x14ac:dyDescent="0.3">
      <c r="B9" t="s">
        <v>34</v>
      </c>
      <c r="C9" t="s">
        <v>32</v>
      </c>
      <c r="D9">
        <v>49</v>
      </c>
      <c r="E9" s="10" t="s">
        <v>27</v>
      </c>
      <c r="F9" s="11">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12" t="s">
        <v>35</v>
      </c>
      <c r="R9" s="13" t="s">
        <v>19</v>
      </c>
      <c r="S9" s="14">
        <v>23</v>
      </c>
      <c r="T9" s="15" t="s">
        <v>20</v>
      </c>
    </row>
    <row r="10" spans="2:20" x14ac:dyDescent="0.3">
      <c r="B10" t="s">
        <v>36</v>
      </c>
      <c r="C10" t="s">
        <v>37</v>
      </c>
      <c r="D10">
        <v>84</v>
      </c>
      <c r="E10" s="10" t="s">
        <v>17</v>
      </c>
      <c r="F10" s="11">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12" t="s">
        <v>37</v>
      </c>
      <c r="R10" s="13" t="s">
        <v>38</v>
      </c>
      <c r="S10" s="14">
        <v>22</v>
      </c>
      <c r="T10" s="15" t="s">
        <v>24</v>
      </c>
    </row>
    <row r="11" spans="2:20" x14ac:dyDescent="0.3">
      <c r="B11" t="s">
        <v>39</v>
      </c>
      <c r="C11" t="s">
        <v>16</v>
      </c>
      <c r="D11">
        <v>103</v>
      </c>
      <c r="E11" s="10" t="s">
        <v>40</v>
      </c>
      <c r="F11" s="11">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12" t="s">
        <v>41</v>
      </c>
      <c r="R11" s="13" t="s">
        <v>38</v>
      </c>
      <c r="S11" s="14">
        <v>42</v>
      </c>
      <c r="T11" s="15" t="s">
        <v>24</v>
      </c>
    </row>
    <row r="12" spans="2:20" x14ac:dyDescent="0.3">
      <c r="B12" t="s">
        <v>42</v>
      </c>
      <c r="C12" t="s">
        <v>26</v>
      </c>
      <c r="D12">
        <v>31</v>
      </c>
      <c r="E12" s="10" t="s">
        <v>27</v>
      </c>
      <c r="F12" s="11">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12" t="s">
        <v>43</v>
      </c>
      <c r="R12" s="13" t="s">
        <v>38</v>
      </c>
      <c r="S12" s="14">
        <v>25</v>
      </c>
      <c r="T12" s="15" t="s">
        <v>20</v>
      </c>
    </row>
    <row r="13" spans="2:20" x14ac:dyDescent="0.3">
      <c r="B13" t="s">
        <v>44</v>
      </c>
      <c r="C13" t="s">
        <v>45</v>
      </c>
      <c r="D13">
        <v>44</v>
      </c>
      <c r="E13" s="10" t="s">
        <v>46</v>
      </c>
      <c r="F13" s="11">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12" t="s">
        <v>45</v>
      </c>
      <c r="R13" s="13" t="s">
        <v>38</v>
      </c>
      <c r="S13" s="14">
        <v>30</v>
      </c>
      <c r="T13" s="15" t="s">
        <v>24</v>
      </c>
    </row>
    <row r="14" spans="2:20" x14ac:dyDescent="0.3">
      <c r="B14" t="s">
        <v>47</v>
      </c>
      <c r="C14" t="s">
        <v>32</v>
      </c>
      <c r="D14">
        <v>102</v>
      </c>
      <c r="E14" s="10" t="s">
        <v>27</v>
      </c>
      <c r="F14" s="11">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12" t="s">
        <v>32</v>
      </c>
      <c r="R14" s="13" t="s">
        <v>38</v>
      </c>
      <c r="S14" s="14">
        <v>30</v>
      </c>
      <c r="T14" s="15" t="s">
        <v>28</v>
      </c>
    </row>
    <row r="15" spans="2:20" x14ac:dyDescent="0.3">
      <c r="B15" t="s">
        <v>48</v>
      </c>
      <c r="C15" t="s">
        <v>49</v>
      </c>
      <c r="D15">
        <v>135</v>
      </c>
      <c r="E15" s="10" t="s">
        <v>17</v>
      </c>
      <c r="F15" s="11">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12" t="s">
        <v>50</v>
      </c>
      <c r="R15" s="13" t="s">
        <v>38</v>
      </c>
      <c r="S15" s="14">
        <v>28</v>
      </c>
      <c r="T15" s="15" t="s">
        <v>28</v>
      </c>
    </row>
    <row r="16" spans="2:20" x14ac:dyDescent="0.3">
      <c r="B16" t="s">
        <v>51</v>
      </c>
      <c r="C16" t="s">
        <v>23</v>
      </c>
      <c r="D16">
        <v>98</v>
      </c>
      <c r="E16" s="10" t="s">
        <v>27</v>
      </c>
      <c r="F16" s="11">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12" t="s">
        <v>49</v>
      </c>
      <c r="R16" s="13" t="s">
        <v>38</v>
      </c>
      <c r="S16" s="14">
        <v>37</v>
      </c>
      <c r="T16" s="15" t="s">
        <v>24</v>
      </c>
    </row>
    <row r="17" spans="2:20" x14ac:dyDescent="0.3">
      <c r="B17" t="s">
        <v>52</v>
      </c>
      <c r="C17" t="s">
        <v>45</v>
      </c>
      <c r="D17">
        <v>139</v>
      </c>
      <c r="E17" s="10" t="s">
        <v>27</v>
      </c>
      <c r="F17" s="11">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12" t="s">
        <v>30</v>
      </c>
      <c r="R17" s="13" t="s">
        <v>38</v>
      </c>
      <c r="S17" s="14">
        <v>38</v>
      </c>
      <c r="T17" s="15" t="s">
        <v>20</v>
      </c>
    </row>
    <row r="18" spans="2:20" x14ac:dyDescent="0.3">
      <c r="B18" t="s">
        <v>53</v>
      </c>
      <c r="C18" t="s">
        <v>49</v>
      </c>
      <c r="D18">
        <v>48</v>
      </c>
      <c r="E18" s="10" t="s">
        <v>33</v>
      </c>
      <c r="F18" s="11">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6" t="s">
        <v>54</v>
      </c>
      <c r="R18" s="17" t="s">
        <v>38</v>
      </c>
      <c r="S18" s="18">
        <v>43</v>
      </c>
      <c r="T18" s="19" t="s">
        <v>24</v>
      </c>
    </row>
    <row r="19" spans="2:20" x14ac:dyDescent="0.3">
      <c r="B19" t="s">
        <v>55</v>
      </c>
      <c r="C19" t="s">
        <v>45</v>
      </c>
      <c r="D19">
        <v>176</v>
      </c>
      <c r="E19" s="10" t="s">
        <v>17</v>
      </c>
      <c r="F19" s="11">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56</v>
      </c>
      <c r="C20" t="s">
        <v>45</v>
      </c>
      <c r="D20">
        <v>99</v>
      </c>
      <c r="E20" s="10" t="s">
        <v>33</v>
      </c>
      <c r="F20" s="11">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57</v>
      </c>
      <c r="C21" t="s">
        <v>43</v>
      </c>
      <c r="D21">
        <v>28</v>
      </c>
      <c r="E21" s="10" t="s">
        <v>46</v>
      </c>
      <c r="F21" s="11">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58</v>
      </c>
      <c r="C22" t="s">
        <v>37</v>
      </c>
      <c r="D22">
        <v>54</v>
      </c>
      <c r="E22" s="10" t="s">
        <v>27</v>
      </c>
      <c r="F22" s="11">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59</v>
      </c>
      <c r="C23" t="s">
        <v>35</v>
      </c>
      <c r="D23">
        <v>48</v>
      </c>
      <c r="E23" s="10" t="s">
        <v>17</v>
      </c>
      <c r="F23" s="11">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60</v>
      </c>
      <c r="C24" t="s">
        <v>22</v>
      </c>
      <c r="D24">
        <v>128</v>
      </c>
      <c r="E24" s="10" t="s">
        <v>17</v>
      </c>
      <c r="F24" s="11">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61</v>
      </c>
      <c r="C25" t="s">
        <v>22</v>
      </c>
      <c r="D25">
        <v>38</v>
      </c>
      <c r="E25" s="10" t="s">
        <v>40</v>
      </c>
      <c r="F25" s="11">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62</v>
      </c>
      <c r="C26" t="s">
        <v>16</v>
      </c>
      <c r="D26">
        <v>67</v>
      </c>
      <c r="E26" s="10" t="s">
        <v>40</v>
      </c>
      <c r="F26" s="11">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63</v>
      </c>
      <c r="C27" t="s">
        <v>54</v>
      </c>
      <c r="D27">
        <v>58</v>
      </c>
      <c r="E27" s="10" t="s">
        <v>27</v>
      </c>
      <c r="F27" s="11">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64</v>
      </c>
      <c r="C28" t="s">
        <v>45</v>
      </c>
      <c r="D28">
        <v>54</v>
      </c>
      <c r="E28" s="10" t="s">
        <v>33</v>
      </c>
      <c r="F28" s="11">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65</v>
      </c>
      <c r="C29" t="s">
        <v>50</v>
      </c>
      <c r="D29">
        <v>28</v>
      </c>
      <c r="E29" s="10" t="s">
        <v>17</v>
      </c>
      <c r="F29" s="11">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66</v>
      </c>
      <c r="C30" t="s">
        <v>23</v>
      </c>
      <c r="D30">
        <v>73</v>
      </c>
      <c r="E30" s="10" t="s">
        <v>17</v>
      </c>
      <c r="F30" s="11">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67</v>
      </c>
      <c r="C31" t="s">
        <v>32</v>
      </c>
      <c r="D31">
        <v>81</v>
      </c>
      <c r="E31" s="10" t="s">
        <v>17</v>
      </c>
      <c r="F31" s="11">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68</v>
      </c>
      <c r="C32" t="s">
        <v>43</v>
      </c>
      <c r="D32">
        <v>31</v>
      </c>
      <c r="E32" s="10" t="s">
        <v>40</v>
      </c>
      <c r="F32" s="11">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69</v>
      </c>
      <c r="C33" t="s">
        <v>54</v>
      </c>
      <c r="D33">
        <v>155</v>
      </c>
      <c r="E33" s="10" t="s">
        <v>33</v>
      </c>
      <c r="F33" s="11">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70</v>
      </c>
      <c r="C34" t="s">
        <v>43</v>
      </c>
      <c r="D34">
        <v>80</v>
      </c>
      <c r="E34" s="10" t="s">
        <v>17</v>
      </c>
      <c r="F34" s="11">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71</v>
      </c>
      <c r="C35" t="s">
        <v>32</v>
      </c>
      <c r="D35">
        <v>82</v>
      </c>
      <c r="E35" s="10" t="s">
        <v>17</v>
      </c>
      <c r="F35" s="11">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72</v>
      </c>
      <c r="C36" t="s">
        <v>32</v>
      </c>
      <c r="D36">
        <v>29</v>
      </c>
      <c r="E36" s="10" t="s">
        <v>33</v>
      </c>
      <c r="F36" s="11">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73</v>
      </c>
      <c r="C37" t="s">
        <v>35</v>
      </c>
      <c r="D37">
        <v>160</v>
      </c>
      <c r="E37" s="10" t="s">
        <v>27</v>
      </c>
      <c r="F37" s="11">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74</v>
      </c>
      <c r="C38" t="s">
        <v>18</v>
      </c>
      <c r="D38">
        <v>105</v>
      </c>
      <c r="E38" s="10" t="s">
        <v>17</v>
      </c>
      <c r="F38" s="11">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75</v>
      </c>
      <c r="C39" t="s">
        <v>43</v>
      </c>
      <c r="D39">
        <v>75</v>
      </c>
      <c r="E39" s="10" t="s">
        <v>46</v>
      </c>
      <c r="F39" s="11">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76</v>
      </c>
      <c r="C40" t="s">
        <v>54</v>
      </c>
      <c r="D40">
        <v>94</v>
      </c>
      <c r="E40" s="10" t="s">
        <v>46</v>
      </c>
      <c r="F40" s="11">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77</v>
      </c>
      <c r="C41" t="s">
        <v>22</v>
      </c>
      <c r="D41">
        <v>90</v>
      </c>
      <c r="E41" s="10" t="s">
        <v>27</v>
      </c>
      <c r="F41" s="11">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78</v>
      </c>
      <c r="C42" t="s">
        <v>54</v>
      </c>
      <c r="D42">
        <v>81</v>
      </c>
      <c r="E42" s="10" t="s">
        <v>40</v>
      </c>
      <c r="F42" s="11">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79</v>
      </c>
      <c r="C43" t="s">
        <v>43</v>
      </c>
      <c r="D43">
        <v>106</v>
      </c>
      <c r="E43" s="10" t="s">
        <v>17</v>
      </c>
      <c r="F43" s="11">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80</v>
      </c>
      <c r="C44" t="s">
        <v>22</v>
      </c>
      <c r="D44">
        <v>74</v>
      </c>
      <c r="E44" s="10" t="s">
        <v>40</v>
      </c>
      <c r="F44" s="11">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81</v>
      </c>
      <c r="C45" t="s">
        <v>45</v>
      </c>
      <c r="D45">
        <v>105</v>
      </c>
      <c r="E45" s="10" t="s">
        <v>27</v>
      </c>
      <c r="F45" s="11">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82</v>
      </c>
      <c r="C46" t="s">
        <v>43</v>
      </c>
      <c r="D46">
        <v>89</v>
      </c>
      <c r="E46" s="10" t="s">
        <v>17</v>
      </c>
      <c r="F46" s="11">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83</v>
      </c>
      <c r="C47" t="s">
        <v>49</v>
      </c>
      <c r="D47">
        <v>132</v>
      </c>
      <c r="E47" s="10" t="s">
        <v>46</v>
      </c>
      <c r="F47" s="11">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84</v>
      </c>
      <c r="C48" t="s">
        <v>18</v>
      </c>
      <c r="D48">
        <v>105</v>
      </c>
      <c r="E48" s="10" t="s">
        <v>33</v>
      </c>
      <c r="F48" s="11">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85</v>
      </c>
      <c r="C49" t="s">
        <v>32</v>
      </c>
      <c r="D49">
        <v>13</v>
      </c>
      <c r="E49" s="10" t="s">
        <v>46</v>
      </c>
      <c r="F49" s="11">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86</v>
      </c>
      <c r="C50" t="s">
        <v>30</v>
      </c>
      <c r="D50">
        <v>131</v>
      </c>
      <c r="E50" s="10" t="s">
        <v>33</v>
      </c>
      <c r="F50" s="11">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87</v>
      </c>
      <c r="C51" t="s">
        <v>22</v>
      </c>
      <c r="D51">
        <v>104</v>
      </c>
      <c r="E51" s="10" t="s">
        <v>17</v>
      </c>
      <c r="F51" s="11">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88</v>
      </c>
      <c r="C52" t="s">
        <v>16</v>
      </c>
      <c r="D52">
        <v>90</v>
      </c>
      <c r="E52" s="10" t="s">
        <v>27</v>
      </c>
      <c r="F52" s="11">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89</v>
      </c>
      <c r="C53" t="s">
        <v>50</v>
      </c>
      <c r="D53">
        <v>37</v>
      </c>
      <c r="E53" s="10" t="s">
        <v>27</v>
      </c>
      <c r="F53" s="11">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90</v>
      </c>
      <c r="C54" t="s">
        <v>23</v>
      </c>
      <c r="D54">
        <v>149</v>
      </c>
      <c r="E54" s="10" t="s">
        <v>33</v>
      </c>
      <c r="F54" s="11">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91</v>
      </c>
      <c r="C55" t="s">
        <v>49</v>
      </c>
      <c r="D55">
        <v>100</v>
      </c>
      <c r="E55" s="10" t="s">
        <v>40</v>
      </c>
      <c r="F55" s="11">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92</v>
      </c>
      <c r="C56" t="s">
        <v>49</v>
      </c>
      <c r="D56">
        <v>79</v>
      </c>
      <c r="E56" s="10" t="s">
        <v>46</v>
      </c>
      <c r="F56" s="11">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93</v>
      </c>
      <c r="C57" t="s">
        <v>41</v>
      </c>
      <c r="D57">
        <v>157</v>
      </c>
      <c r="E57" s="10" t="s">
        <v>33</v>
      </c>
      <c r="F57" s="11">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94</v>
      </c>
      <c r="C58" t="s">
        <v>49</v>
      </c>
      <c r="D58">
        <v>59</v>
      </c>
      <c r="E58" s="10" t="s">
        <v>17</v>
      </c>
      <c r="F58" s="11">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95</v>
      </c>
      <c r="C59" t="s">
        <v>50</v>
      </c>
      <c r="D59">
        <v>83</v>
      </c>
      <c r="E59" s="10" t="s">
        <v>33</v>
      </c>
      <c r="F59" s="11">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96</v>
      </c>
      <c r="C60" t="s">
        <v>41</v>
      </c>
      <c r="D60">
        <v>58</v>
      </c>
      <c r="E60" s="10" t="s">
        <v>27</v>
      </c>
      <c r="F60" s="11">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97</v>
      </c>
      <c r="C61" t="s">
        <v>54</v>
      </c>
      <c r="D61">
        <v>118</v>
      </c>
      <c r="E61" s="10" t="s">
        <v>27</v>
      </c>
      <c r="F61" s="11">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98</v>
      </c>
      <c r="C62" t="s">
        <v>32</v>
      </c>
      <c r="D62">
        <v>63</v>
      </c>
      <c r="E62" s="10" t="s">
        <v>17</v>
      </c>
      <c r="F62" s="11">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99</v>
      </c>
      <c r="C63" t="s">
        <v>41</v>
      </c>
      <c r="D63">
        <v>95</v>
      </c>
      <c r="E63" s="10" t="s">
        <v>27</v>
      </c>
      <c r="F63" s="11">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100</v>
      </c>
      <c r="C64" t="s">
        <v>49</v>
      </c>
      <c r="D64">
        <v>74</v>
      </c>
      <c r="E64" s="10" t="s">
        <v>33</v>
      </c>
      <c r="F64" s="11">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101</v>
      </c>
      <c r="C65" t="s">
        <v>45</v>
      </c>
      <c r="D65">
        <v>130</v>
      </c>
      <c r="E65" s="10" t="s">
        <v>40</v>
      </c>
      <c r="F65" s="11">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102</v>
      </c>
      <c r="C66" t="s">
        <v>54</v>
      </c>
      <c r="D66">
        <v>110</v>
      </c>
      <c r="E66" s="10" t="s">
        <v>46</v>
      </c>
      <c r="F66" s="11">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103</v>
      </c>
      <c r="C67" t="s">
        <v>49</v>
      </c>
      <c r="D67">
        <v>71</v>
      </c>
      <c r="E67" s="10" t="s">
        <v>17</v>
      </c>
      <c r="F67" s="11">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104</v>
      </c>
      <c r="C68" t="s">
        <v>18</v>
      </c>
      <c r="D68">
        <v>147</v>
      </c>
      <c r="E68" s="10" t="s">
        <v>40</v>
      </c>
      <c r="F68" s="11">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105</v>
      </c>
      <c r="C69" t="s">
        <v>22</v>
      </c>
      <c r="D69">
        <v>69</v>
      </c>
      <c r="E69" s="10" t="s">
        <v>27</v>
      </c>
      <c r="F69" s="11">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106</v>
      </c>
      <c r="C70" t="s">
        <v>54</v>
      </c>
      <c r="D70">
        <v>50</v>
      </c>
      <c r="E70" s="10" t="s">
        <v>17</v>
      </c>
      <c r="F70" s="11">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107</v>
      </c>
      <c r="C71" t="s">
        <v>45</v>
      </c>
      <c r="D71">
        <v>124</v>
      </c>
      <c r="E71" s="10" t="s">
        <v>40</v>
      </c>
      <c r="F71" s="11">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108</v>
      </c>
      <c r="C72" t="s">
        <v>26</v>
      </c>
      <c r="D72">
        <v>81</v>
      </c>
      <c r="E72" s="10" t="s">
        <v>33</v>
      </c>
      <c r="F72" s="11">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109</v>
      </c>
      <c r="C73" t="s">
        <v>35</v>
      </c>
      <c r="D73">
        <v>141</v>
      </c>
      <c r="E73" s="10" t="s">
        <v>46</v>
      </c>
      <c r="F73" s="11">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110</v>
      </c>
      <c r="C74" t="s">
        <v>35</v>
      </c>
      <c r="D74">
        <v>168</v>
      </c>
      <c r="E74" s="10" t="s">
        <v>46</v>
      </c>
      <c r="F74" s="11">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111</v>
      </c>
      <c r="C75" t="s">
        <v>18</v>
      </c>
      <c r="D75">
        <v>101</v>
      </c>
      <c r="E75" s="10" t="s">
        <v>33</v>
      </c>
      <c r="F75" s="11">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112</v>
      </c>
      <c r="C76" t="s">
        <v>49</v>
      </c>
      <c r="D76">
        <v>67</v>
      </c>
      <c r="E76" s="10" t="s">
        <v>33</v>
      </c>
      <c r="F76" s="11">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113</v>
      </c>
      <c r="C77" t="s">
        <v>41</v>
      </c>
      <c r="D77">
        <v>114</v>
      </c>
      <c r="E77" s="10" t="s">
        <v>46</v>
      </c>
      <c r="F77" s="11">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114</v>
      </c>
      <c r="C78" t="s">
        <v>26</v>
      </c>
      <c r="D78">
        <v>42</v>
      </c>
      <c r="E78" s="10" t="s">
        <v>33</v>
      </c>
      <c r="F78" s="11">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115</v>
      </c>
      <c r="C79" t="s">
        <v>32</v>
      </c>
      <c r="D79">
        <v>69</v>
      </c>
      <c r="E79" s="10" t="s">
        <v>46</v>
      </c>
      <c r="F79" s="11">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116</v>
      </c>
      <c r="C80" t="s">
        <v>45</v>
      </c>
      <c r="D80">
        <v>145</v>
      </c>
      <c r="E80" s="10" t="s">
        <v>27</v>
      </c>
      <c r="F80" s="11">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117</v>
      </c>
      <c r="C81" t="s">
        <v>22</v>
      </c>
      <c r="D81">
        <v>43</v>
      </c>
      <c r="E81" s="10" t="s">
        <v>46</v>
      </c>
      <c r="F81" s="11">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118</v>
      </c>
      <c r="C82" t="s">
        <v>32</v>
      </c>
      <c r="D82">
        <v>62</v>
      </c>
      <c r="E82" s="10" t="s">
        <v>17</v>
      </c>
      <c r="F82" s="11">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119</v>
      </c>
      <c r="C83" t="s">
        <v>43</v>
      </c>
      <c r="D83">
        <v>79</v>
      </c>
      <c r="E83" s="10" t="s">
        <v>46</v>
      </c>
      <c r="F83" s="11">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120</v>
      </c>
      <c r="C84" t="s">
        <v>45</v>
      </c>
      <c r="D84">
        <v>45</v>
      </c>
      <c r="E84" s="10" t="s">
        <v>40</v>
      </c>
      <c r="F84" s="11">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121</v>
      </c>
      <c r="C85" t="s">
        <v>32</v>
      </c>
      <c r="D85">
        <v>137</v>
      </c>
      <c r="E85" s="10" t="s">
        <v>46</v>
      </c>
      <c r="F85" s="11">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122</v>
      </c>
      <c r="C86" t="s">
        <v>41</v>
      </c>
      <c r="D86">
        <v>109</v>
      </c>
      <c r="E86" s="10" t="s">
        <v>17</v>
      </c>
      <c r="F86" s="11">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123</v>
      </c>
      <c r="C87" t="s">
        <v>22</v>
      </c>
      <c r="D87">
        <v>78</v>
      </c>
      <c r="E87" s="10" t="s">
        <v>17</v>
      </c>
      <c r="F87" s="11">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124</v>
      </c>
      <c r="C88" t="s">
        <v>32</v>
      </c>
      <c r="D88">
        <v>137</v>
      </c>
      <c r="E88" s="10" t="s">
        <v>40</v>
      </c>
      <c r="F88" s="11">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125</v>
      </c>
      <c r="C89" t="s">
        <v>30</v>
      </c>
      <c r="D89">
        <v>99</v>
      </c>
      <c r="E89" s="10" t="s">
        <v>17</v>
      </c>
      <c r="F89" s="11">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126</v>
      </c>
      <c r="C90" t="s">
        <v>54</v>
      </c>
      <c r="D90">
        <v>100</v>
      </c>
      <c r="E90" s="10" t="s">
        <v>17</v>
      </c>
      <c r="F90" s="11">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127</v>
      </c>
      <c r="C91" t="s">
        <v>22</v>
      </c>
      <c r="D91">
        <v>47</v>
      </c>
      <c r="E91" s="10" t="s">
        <v>27</v>
      </c>
      <c r="F91" s="11">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128</v>
      </c>
      <c r="C92" t="s">
        <v>41</v>
      </c>
      <c r="D92">
        <v>87</v>
      </c>
      <c r="E92" s="10" t="s">
        <v>33</v>
      </c>
      <c r="F92" s="11">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129</v>
      </c>
      <c r="C93" t="s">
        <v>30</v>
      </c>
      <c r="D93">
        <v>143</v>
      </c>
      <c r="E93" s="10" t="s">
        <v>33</v>
      </c>
      <c r="F93" s="11">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130</v>
      </c>
      <c r="C94" t="s">
        <v>54</v>
      </c>
      <c r="D94">
        <v>84</v>
      </c>
      <c r="E94" s="10" t="s">
        <v>17</v>
      </c>
      <c r="F94" s="11">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131</v>
      </c>
      <c r="C95" t="s">
        <v>18</v>
      </c>
      <c r="D95">
        <v>55</v>
      </c>
      <c r="E95" s="10" t="s">
        <v>33</v>
      </c>
      <c r="F95" s="11">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132</v>
      </c>
      <c r="C96" t="s">
        <v>37</v>
      </c>
      <c r="D96">
        <v>135</v>
      </c>
      <c r="E96" s="10" t="s">
        <v>40</v>
      </c>
      <c r="F96" s="11">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133</v>
      </c>
      <c r="C97" t="s">
        <v>50</v>
      </c>
      <c r="D97">
        <v>152</v>
      </c>
      <c r="E97" s="10" t="s">
        <v>27</v>
      </c>
      <c r="F97" s="11">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134</v>
      </c>
      <c r="C98" t="s">
        <v>26</v>
      </c>
      <c r="D98">
        <v>132</v>
      </c>
      <c r="E98" s="10" t="s">
        <v>27</v>
      </c>
      <c r="F98" s="11">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135</v>
      </c>
      <c r="C99" t="s">
        <v>35</v>
      </c>
      <c r="D99">
        <v>60</v>
      </c>
      <c r="E99" s="10" t="s">
        <v>17</v>
      </c>
      <c r="F99" s="11">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136</v>
      </c>
      <c r="C100" t="s">
        <v>50</v>
      </c>
      <c r="D100">
        <v>95</v>
      </c>
      <c r="E100" s="10" t="s">
        <v>27</v>
      </c>
      <c r="F100" s="11">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137</v>
      </c>
      <c r="C101" t="s">
        <v>16</v>
      </c>
      <c r="D101">
        <v>96</v>
      </c>
      <c r="E101" s="10" t="s">
        <v>46</v>
      </c>
      <c r="F101" s="11">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138</v>
      </c>
      <c r="C102" t="s">
        <v>18</v>
      </c>
      <c r="D102">
        <v>45</v>
      </c>
      <c r="E102" s="10" t="s">
        <v>17</v>
      </c>
      <c r="F102" s="11">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139</v>
      </c>
      <c r="C103" t="s">
        <v>16</v>
      </c>
      <c r="D103">
        <v>132</v>
      </c>
      <c r="E103" s="10" t="s">
        <v>46</v>
      </c>
      <c r="F103" s="11">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140</v>
      </c>
      <c r="C104" t="s">
        <v>49</v>
      </c>
      <c r="D104">
        <v>95</v>
      </c>
      <c r="E104" s="10" t="s">
        <v>17</v>
      </c>
      <c r="F104" s="11">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141</v>
      </c>
      <c r="C105" t="s">
        <v>50</v>
      </c>
      <c r="D105">
        <v>131</v>
      </c>
      <c r="E105" s="10" t="s">
        <v>33</v>
      </c>
      <c r="F105" s="11">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142</v>
      </c>
      <c r="C106" t="s">
        <v>43</v>
      </c>
      <c r="D106">
        <v>67</v>
      </c>
      <c r="E106" s="10" t="s">
        <v>40</v>
      </c>
      <c r="F106" s="11">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143</v>
      </c>
      <c r="C107" t="s">
        <v>30</v>
      </c>
      <c r="D107">
        <v>111</v>
      </c>
      <c r="E107" s="10" t="s">
        <v>33</v>
      </c>
      <c r="F107" s="11">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144</v>
      </c>
      <c r="C108" t="s">
        <v>26</v>
      </c>
      <c r="D108">
        <v>78</v>
      </c>
      <c r="E108" s="10" t="s">
        <v>27</v>
      </c>
      <c r="F108" s="11">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145</v>
      </c>
      <c r="C109" t="s">
        <v>23</v>
      </c>
      <c r="D109">
        <v>28</v>
      </c>
      <c r="E109" s="10" t="s">
        <v>46</v>
      </c>
      <c r="F109" s="11">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146</v>
      </c>
      <c r="C110" t="s">
        <v>22</v>
      </c>
      <c r="D110">
        <v>127</v>
      </c>
      <c r="E110" s="10" t="s">
        <v>40</v>
      </c>
      <c r="F110" s="11">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147</v>
      </c>
      <c r="C111" t="s">
        <v>54</v>
      </c>
      <c r="D111">
        <v>137</v>
      </c>
      <c r="E111" s="10" t="s">
        <v>33</v>
      </c>
      <c r="F111" s="11">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148</v>
      </c>
      <c r="C112" t="s">
        <v>22</v>
      </c>
      <c r="D112">
        <v>76</v>
      </c>
      <c r="E112" s="10" t="s">
        <v>46</v>
      </c>
      <c r="F112" s="11">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149</v>
      </c>
      <c r="C113" t="s">
        <v>26</v>
      </c>
      <c r="D113">
        <v>80</v>
      </c>
      <c r="E113" s="10" t="s">
        <v>40</v>
      </c>
      <c r="F113" s="11">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150</v>
      </c>
      <c r="C114" t="s">
        <v>22</v>
      </c>
      <c r="D114">
        <v>95</v>
      </c>
      <c r="E114" s="10" t="s">
        <v>27</v>
      </c>
      <c r="F114" s="11">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151</v>
      </c>
      <c r="C115" t="s">
        <v>35</v>
      </c>
      <c r="D115">
        <v>30</v>
      </c>
      <c r="E115" s="10" t="s">
        <v>46</v>
      </c>
      <c r="F115" s="11">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152</v>
      </c>
      <c r="C116" t="s">
        <v>32</v>
      </c>
      <c r="D116">
        <v>19</v>
      </c>
      <c r="E116" s="10" t="s">
        <v>33</v>
      </c>
      <c r="F116" s="11">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153</v>
      </c>
      <c r="C117" t="s">
        <v>45</v>
      </c>
      <c r="D117">
        <v>38</v>
      </c>
      <c r="E117" s="10" t="s">
        <v>40</v>
      </c>
      <c r="F117" s="11">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154</v>
      </c>
      <c r="C118" t="s">
        <v>49</v>
      </c>
      <c r="D118">
        <v>55</v>
      </c>
      <c r="E118" s="10" t="s">
        <v>33</v>
      </c>
      <c r="F118" s="11">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155</v>
      </c>
      <c r="C119" t="s">
        <v>43</v>
      </c>
      <c r="D119">
        <v>27</v>
      </c>
      <c r="E119" s="10" t="s">
        <v>46</v>
      </c>
      <c r="F119" s="11">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156</v>
      </c>
      <c r="C120" t="s">
        <v>43</v>
      </c>
      <c r="D120">
        <v>32</v>
      </c>
      <c r="E120" s="10" t="s">
        <v>46</v>
      </c>
      <c r="F120" s="11">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157</v>
      </c>
      <c r="C121" t="s">
        <v>23</v>
      </c>
      <c r="D121">
        <v>116</v>
      </c>
      <c r="E121" s="10" t="s">
        <v>17</v>
      </c>
      <c r="F121" s="11">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158</v>
      </c>
      <c r="C122" t="s">
        <v>16</v>
      </c>
      <c r="D122">
        <v>99</v>
      </c>
      <c r="E122" s="10" t="s">
        <v>27</v>
      </c>
      <c r="F122" s="11">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159</v>
      </c>
      <c r="C123" t="s">
        <v>22</v>
      </c>
      <c r="D123">
        <v>75</v>
      </c>
      <c r="E123" s="10" t="s">
        <v>46</v>
      </c>
      <c r="F123" s="11">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160</v>
      </c>
      <c r="C124" t="s">
        <v>26</v>
      </c>
      <c r="D124">
        <v>57</v>
      </c>
      <c r="E124" s="10" t="s">
        <v>17</v>
      </c>
      <c r="F124" s="11">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161</v>
      </c>
      <c r="C125" t="s">
        <v>37</v>
      </c>
      <c r="D125">
        <v>155</v>
      </c>
      <c r="E125" s="10" t="s">
        <v>17</v>
      </c>
      <c r="F125" s="11">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162</v>
      </c>
      <c r="C126" t="s">
        <v>16</v>
      </c>
      <c r="D126">
        <v>68</v>
      </c>
      <c r="E126" s="10" t="s">
        <v>27</v>
      </c>
      <c r="F126" s="11">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163</v>
      </c>
      <c r="C127" t="s">
        <v>45</v>
      </c>
      <c r="D127">
        <v>95</v>
      </c>
      <c r="E127" s="10" t="s">
        <v>27</v>
      </c>
      <c r="F127" s="11">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164</v>
      </c>
      <c r="C128" t="s">
        <v>54</v>
      </c>
      <c r="D128">
        <v>65</v>
      </c>
      <c r="E128" s="10" t="s">
        <v>17</v>
      </c>
      <c r="F128" s="11">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165</v>
      </c>
      <c r="C129" t="s">
        <v>32</v>
      </c>
      <c r="D129">
        <v>114</v>
      </c>
      <c r="E129" s="10" t="s">
        <v>33</v>
      </c>
      <c r="F129" s="11">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166</v>
      </c>
      <c r="C130" t="s">
        <v>22</v>
      </c>
      <c r="D130">
        <v>155</v>
      </c>
      <c r="E130" s="10" t="s">
        <v>33</v>
      </c>
      <c r="F130" s="11">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167</v>
      </c>
      <c r="C131" t="s">
        <v>54</v>
      </c>
      <c r="D131">
        <v>114</v>
      </c>
      <c r="E131" s="10" t="s">
        <v>17</v>
      </c>
      <c r="F131" s="11">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168</v>
      </c>
      <c r="C132" t="s">
        <v>37</v>
      </c>
      <c r="D132">
        <v>130</v>
      </c>
      <c r="E132" s="10" t="s">
        <v>40</v>
      </c>
      <c r="F132" s="11">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169</v>
      </c>
      <c r="C133" t="s">
        <v>22</v>
      </c>
      <c r="D133">
        <v>89</v>
      </c>
      <c r="E133" s="10" t="s">
        <v>17</v>
      </c>
      <c r="F133" s="11">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170</v>
      </c>
      <c r="C134" t="s">
        <v>18</v>
      </c>
      <c r="D134">
        <v>61</v>
      </c>
      <c r="E134" s="10" t="s">
        <v>46</v>
      </c>
      <c r="F134" s="11">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171</v>
      </c>
      <c r="C135" t="s">
        <v>45</v>
      </c>
      <c r="D135">
        <v>154</v>
      </c>
      <c r="E135" s="10" t="s">
        <v>33</v>
      </c>
      <c r="F135" s="11">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172</v>
      </c>
      <c r="C136" t="s">
        <v>54</v>
      </c>
      <c r="D136">
        <v>115</v>
      </c>
      <c r="E136" s="10" t="s">
        <v>40</v>
      </c>
      <c r="F136" s="11">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173</v>
      </c>
      <c r="C137" t="s">
        <v>41</v>
      </c>
      <c r="D137">
        <v>138</v>
      </c>
      <c r="E137" s="10" t="s">
        <v>27</v>
      </c>
      <c r="F137" s="11">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174</v>
      </c>
      <c r="C138" t="s">
        <v>30</v>
      </c>
      <c r="D138">
        <v>153</v>
      </c>
      <c r="E138" s="10" t="s">
        <v>17</v>
      </c>
      <c r="F138" s="11">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175</v>
      </c>
      <c r="C139" t="s">
        <v>54</v>
      </c>
      <c r="D139">
        <v>61</v>
      </c>
      <c r="E139" s="10" t="s">
        <v>46</v>
      </c>
      <c r="F139" s="11">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176</v>
      </c>
      <c r="C140" t="s">
        <v>43</v>
      </c>
      <c r="D140">
        <v>62</v>
      </c>
      <c r="E140" s="10" t="s">
        <v>17</v>
      </c>
      <c r="F140" s="11">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177</v>
      </c>
      <c r="C141" t="s">
        <v>18</v>
      </c>
      <c r="D141">
        <v>151</v>
      </c>
      <c r="E141" s="10" t="s">
        <v>40</v>
      </c>
      <c r="F141" s="11">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178</v>
      </c>
      <c r="C142" t="s">
        <v>50</v>
      </c>
      <c r="D142">
        <v>102</v>
      </c>
      <c r="E142" s="10" t="s">
        <v>33</v>
      </c>
      <c r="F142" s="11">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179</v>
      </c>
      <c r="C143" t="s">
        <v>35</v>
      </c>
      <c r="D143">
        <v>64</v>
      </c>
      <c r="E143" s="10" t="s">
        <v>17</v>
      </c>
      <c r="F143" s="11">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180</v>
      </c>
      <c r="C144" t="s">
        <v>22</v>
      </c>
      <c r="D144">
        <v>6</v>
      </c>
      <c r="E144" s="10" t="s">
        <v>33</v>
      </c>
      <c r="F144" s="11">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181</v>
      </c>
      <c r="C145" t="s">
        <v>35</v>
      </c>
      <c r="D145">
        <v>129</v>
      </c>
      <c r="E145" s="10" t="s">
        <v>17</v>
      </c>
      <c r="F145" s="11">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182</v>
      </c>
      <c r="C146" t="s">
        <v>43</v>
      </c>
      <c r="D146">
        <v>42</v>
      </c>
      <c r="E146" s="10" t="s">
        <v>40</v>
      </c>
      <c r="F146" s="11">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183</v>
      </c>
      <c r="C147" t="s">
        <v>43</v>
      </c>
      <c r="D147">
        <v>71</v>
      </c>
      <c r="E147" s="10" t="s">
        <v>46</v>
      </c>
      <c r="F147" s="11">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184</v>
      </c>
      <c r="C148" t="s">
        <v>26</v>
      </c>
      <c r="D148">
        <v>53</v>
      </c>
      <c r="E148" s="10" t="s">
        <v>33</v>
      </c>
      <c r="F148" s="11">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185</v>
      </c>
      <c r="C149" t="s">
        <v>32</v>
      </c>
      <c r="D149">
        <v>155</v>
      </c>
      <c r="E149" s="10" t="s">
        <v>46</v>
      </c>
      <c r="F149" s="11">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186</v>
      </c>
      <c r="C150" t="s">
        <v>32</v>
      </c>
      <c r="D150">
        <v>90</v>
      </c>
      <c r="E150" s="10" t="s">
        <v>40</v>
      </c>
      <c r="F150" s="11">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187</v>
      </c>
      <c r="C151" t="s">
        <v>35</v>
      </c>
      <c r="D151">
        <v>166</v>
      </c>
      <c r="E151" s="10" t="s">
        <v>27</v>
      </c>
      <c r="F151" s="11">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188</v>
      </c>
      <c r="C152" t="s">
        <v>23</v>
      </c>
      <c r="D152">
        <v>89</v>
      </c>
      <c r="E152" s="10" t="s">
        <v>46</v>
      </c>
      <c r="F152" s="11">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189</v>
      </c>
      <c r="C153" t="s">
        <v>54</v>
      </c>
      <c r="D153">
        <v>152</v>
      </c>
      <c r="E153" s="10" t="s">
        <v>33</v>
      </c>
      <c r="F153" s="11">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190</v>
      </c>
      <c r="C154" t="s">
        <v>23</v>
      </c>
      <c r="D154">
        <v>137</v>
      </c>
      <c r="E154" s="10" t="s">
        <v>40</v>
      </c>
      <c r="F154" s="11">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191</v>
      </c>
      <c r="C155" t="s">
        <v>23</v>
      </c>
      <c r="D155">
        <v>43</v>
      </c>
      <c r="E155" s="10" t="s">
        <v>40</v>
      </c>
      <c r="F155" s="11">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192</v>
      </c>
      <c r="C156" t="s">
        <v>45</v>
      </c>
      <c r="D156">
        <v>114</v>
      </c>
      <c r="E156" s="10" t="s">
        <v>40</v>
      </c>
      <c r="F156" s="11">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193</v>
      </c>
      <c r="C157" t="s">
        <v>30</v>
      </c>
      <c r="D157">
        <v>103</v>
      </c>
      <c r="E157" s="10" t="s">
        <v>46</v>
      </c>
      <c r="F157" s="11">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194</v>
      </c>
      <c r="C158" t="s">
        <v>23</v>
      </c>
      <c r="D158">
        <v>98</v>
      </c>
      <c r="E158" s="10" t="s">
        <v>33</v>
      </c>
      <c r="F158" s="11">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195</v>
      </c>
      <c r="C159" t="s">
        <v>35</v>
      </c>
      <c r="D159">
        <v>106</v>
      </c>
      <c r="E159" s="10" t="s">
        <v>27</v>
      </c>
      <c r="F159" s="11">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196</v>
      </c>
      <c r="C160" t="s">
        <v>22</v>
      </c>
      <c r="D160">
        <v>96</v>
      </c>
      <c r="E160" s="10" t="s">
        <v>27</v>
      </c>
      <c r="F160" s="11">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197</v>
      </c>
      <c r="C161" t="s">
        <v>30</v>
      </c>
      <c r="D161">
        <v>70</v>
      </c>
      <c r="E161" s="10" t="s">
        <v>27</v>
      </c>
      <c r="F161" s="11">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198</v>
      </c>
      <c r="C162" t="s">
        <v>43</v>
      </c>
      <c r="D162">
        <v>86</v>
      </c>
      <c r="E162" s="10" t="s">
        <v>17</v>
      </c>
      <c r="F162" s="11">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199</v>
      </c>
      <c r="C163" t="s">
        <v>26</v>
      </c>
      <c r="D163">
        <v>64</v>
      </c>
      <c r="E163" s="10" t="s">
        <v>17</v>
      </c>
      <c r="F163" s="11">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200</v>
      </c>
      <c r="C164" t="s">
        <v>22</v>
      </c>
      <c r="D164">
        <v>113</v>
      </c>
      <c r="E164" s="10" t="s">
        <v>33</v>
      </c>
      <c r="F164" s="11">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201</v>
      </c>
      <c r="C165" t="s">
        <v>22</v>
      </c>
      <c r="D165">
        <v>21</v>
      </c>
      <c r="E165" s="10" t="s">
        <v>27</v>
      </c>
      <c r="F165" s="11">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202</v>
      </c>
      <c r="C166" t="s">
        <v>50</v>
      </c>
      <c r="D166">
        <v>107</v>
      </c>
      <c r="E166" s="10" t="s">
        <v>17</v>
      </c>
      <c r="F166" s="11">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203</v>
      </c>
      <c r="C167" t="s">
        <v>50</v>
      </c>
      <c r="D167">
        <v>131</v>
      </c>
      <c r="E167" s="10" t="s">
        <v>27</v>
      </c>
      <c r="F167" s="11">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204</v>
      </c>
      <c r="C168" t="s">
        <v>16</v>
      </c>
      <c r="D168">
        <v>11</v>
      </c>
      <c r="E168" s="10" t="s">
        <v>46</v>
      </c>
      <c r="F168" s="11">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205</v>
      </c>
      <c r="C169" t="s">
        <v>18</v>
      </c>
      <c r="D169">
        <v>86</v>
      </c>
      <c r="E169" s="10" t="s">
        <v>33</v>
      </c>
      <c r="F169" s="11">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206</v>
      </c>
      <c r="C170" t="s">
        <v>26</v>
      </c>
      <c r="D170">
        <v>28</v>
      </c>
      <c r="E170" s="10" t="s">
        <v>46</v>
      </c>
      <c r="F170" s="11">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207</v>
      </c>
      <c r="C171" t="s">
        <v>32</v>
      </c>
      <c r="D171">
        <v>139</v>
      </c>
      <c r="E171" s="10" t="s">
        <v>27</v>
      </c>
      <c r="F171" s="11">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208</v>
      </c>
      <c r="C172" t="s">
        <v>35</v>
      </c>
      <c r="D172">
        <v>82</v>
      </c>
      <c r="E172" s="10" t="s">
        <v>33</v>
      </c>
      <c r="F172" s="11">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209</v>
      </c>
      <c r="C173" t="s">
        <v>22</v>
      </c>
      <c r="D173">
        <v>101</v>
      </c>
      <c r="E173" s="10" t="s">
        <v>46</v>
      </c>
      <c r="F173" s="11">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210</v>
      </c>
      <c r="C174" t="s">
        <v>26</v>
      </c>
      <c r="D174">
        <v>75</v>
      </c>
      <c r="E174" s="10" t="s">
        <v>40</v>
      </c>
      <c r="F174" s="11">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211</v>
      </c>
      <c r="C175" t="s">
        <v>45</v>
      </c>
      <c r="D175">
        <v>40</v>
      </c>
      <c r="E175" s="10" t="s">
        <v>46</v>
      </c>
      <c r="F175" s="11">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212</v>
      </c>
      <c r="C176" t="s">
        <v>23</v>
      </c>
      <c r="D176">
        <v>86</v>
      </c>
      <c r="E176" s="10" t="s">
        <v>27</v>
      </c>
      <c r="F176" s="11">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213</v>
      </c>
      <c r="C177" t="s">
        <v>37</v>
      </c>
      <c r="D177">
        <v>131</v>
      </c>
      <c r="E177" s="10" t="s">
        <v>17</v>
      </c>
      <c r="F177" s="11">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214</v>
      </c>
      <c r="C178" t="s">
        <v>50</v>
      </c>
      <c r="D178">
        <v>67</v>
      </c>
      <c r="E178" s="10" t="s">
        <v>33</v>
      </c>
      <c r="F178" s="11">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215</v>
      </c>
      <c r="C179" t="s">
        <v>41</v>
      </c>
      <c r="D179">
        <v>71</v>
      </c>
      <c r="E179" s="10" t="s">
        <v>46</v>
      </c>
      <c r="F179" s="11">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216</v>
      </c>
      <c r="C180" t="s">
        <v>37</v>
      </c>
      <c r="D180">
        <v>113</v>
      </c>
      <c r="E180" s="10" t="s">
        <v>17</v>
      </c>
      <c r="F180" s="11">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217</v>
      </c>
      <c r="C181" t="s">
        <v>35</v>
      </c>
      <c r="D181">
        <v>53</v>
      </c>
      <c r="E181" s="10" t="s">
        <v>27</v>
      </c>
      <c r="F181" s="11">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218</v>
      </c>
      <c r="C182" t="s">
        <v>37</v>
      </c>
      <c r="D182">
        <v>153</v>
      </c>
      <c r="E182" s="10" t="s">
        <v>33</v>
      </c>
      <c r="F182" s="11">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219</v>
      </c>
      <c r="C183" t="s">
        <v>50</v>
      </c>
      <c r="D183">
        <v>73</v>
      </c>
      <c r="E183" s="10" t="s">
        <v>40</v>
      </c>
      <c r="F183" s="11">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220</v>
      </c>
      <c r="C184" t="s">
        <v>43</v>
      </c>
      <c r="D184">
        <v>62</v>
      </c>
      <c r="E184" s="10" t="s">
        <v>40</v>
      </c>
      <c r="F184" s="11">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221</v>
      </c>
      <c r="C185" t="s">
        <v>32</v>
      </c>
      <c r="D185">
        <v>115</v>
      </c>
      <c r="E185" s="10" t="s">
        <v>27</v>
      </c>
      <c r="F185" s="11">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222</v>
      </c>
      <c r="C186" t="s">
        <v>37</v>
      </c>
      <c r="D186">
        <v>69</v>
      </c>
      <c r="E186" s="10" t="s">
        <v>27</v>
      </c>
      <c r="F186" s="11">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223</v>
      </c>
      <c r="C187" t="s">
        <v>23</v>
      </c>
      <c r="D187">
        <v>103</v>
      </c>
      <c r="E187" s="10" t="s">
        <v>17</v>
      </c>
      <c r="F187" s="11">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224</v>
      </c>
      <c r="C188" t="s">
        <v>23</v>
      </c>
      <c r="D188">
        <v>75</v>
      </c>
      <c r="E188" s="10" t="s">
        <v>17</v>
      </c>
      <c r="F188" s="11">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225</v>
      </c>
      <c r="C189" t="s">
        <v>49</v>
      </c>
      <c r="D189">
        <v>92</v>
      </c>
      <c r="E189" s="10" t="s">
        <v>17</v>
      </c>
      <c r="F189" s="11">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226</v>
      </c>
      <c r="C190" t="s">
        <v>49</v>
      </c>
      <c r="D190">
        <v>41</v>
      </c>
      <c r="E190" s="10" t="s">
        <v>40</v>
      </c>
      <c r="F190" s="11">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227</v>
      </c>
      <c r="C191" t="s">
        <v>23</v>
      </c>
      <c r="D191">
        <v>134</v>
      </c>
      <c r="E191" s="10" t="s">
        <v>33</v>
      </c>
      <c r="F191" s="11">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228</v>
      </c>
      <c r="C192" t="s">
        <v>18</v>
      </c>
      <c r="D192">
        <v>80</v>
      </c>
      <c r="E192" s="10" t="s">
        <v>46</v>
      </c>
      <c r="F192" s="11">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229</v>
      </c>
      <c r="C193" t="s">
        <v>41</v>
      </c>
      <c r="D193">
        <v>103</v>
      </c>
      <c r="E193" s="10" t="s">
        <v>27</v>
      </c>
      <c r="F193" s="11">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230</v>
      </c>
      <c r="C194" t="s">
        <v>35</v>
      </c>
      <c r="D194">
        <v>20</v>
      </c>
      <c r="E194" s="10" t="s">
        <v>17</v>
      </c>
      <c r="F194" s="11">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231</v>
      </c>
      <c r="C195" t="s">
        <v>41</v>
      </c>
      <c r="D195">
        <v>75</v>
      </c>
      <c r="E195" s="10" t="s">
        <v>46</v>
      </c>
      <c r="F195" s="11">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232</v>
      </c>
      <c r="C196" t="s">
        <v>49</v>
      </c>
      <c r="D196">
        <v>80</v>
      </c>
      <c r="E196" s="10" t="s">
        <v>33</v>
      </c>
      <c r="F196" s="11">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233</v>
      </c>
      <c r="C197" t="s">
        <v>37</v>
      </c>
      <c r="D197">
        <v>85</v>
      </c>
      <c r="E197" s="10" t="s">
        <v>40</v>
      </c>
      <c r="F197" s="11">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234</v>
      </c>
      <c r="C198" t="s">
        <v>22</v>
      </c>
      <c r="D198">
        <v>155</v>
      </c>
      <c r="E198" s="10" t="s">
        <v>17</v>
      </c>
      <c r="F198" s="11">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235</v>
      </c>
      <c r="C199" t="s">
        <v>37</v>
      </c>
      <c r="D199">
        <v>63</v>
      </c>
      <c r="E199" s="10" t="s">
        <v>40</v>
      </c>
      <c r="F199" s="11">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236</v>
      </c>
      <c r="C200" t="s">
        <v>26</v>
      </c>
      <c r="D200">
        <v>105</v>
      </c>
      <c r="E200" s="10" t="s">
        <v>27</v>
      </c>
      <c r="F200" s="11">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237</v>
      </c>
      <c r="C201" t="s">
        <v>37</v>
      </c>
      <c r="D201">
        <v>71</v>
      </c>
      <c r="E201" s="10" t="s">
        <v>40</v>
      </c>
      <c r="F201" s="11">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238</v>
      </c>
      <c r="C202" t="s">
        <v>22</v>
      </c>
      <c r="D202">
        <v>100</v>
      </c>
      <c r="E202" s="10" t="s">
        <v>40</v>
      </c>
      <c r="F202" s="11">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239</v>
      </c>
      <c r="C203" t="s">
        <v>16</v>
      </c>
      <c r="D203">
        <v>93</v>
      </c>
      <c r="E203" s="10" t="s">
        <v>33</v>
      </c>
      <c r="F203" s="11">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240</v>
      </c>
      <c r="C204" t="s">
        <v>26</v>
      </c>
      <c r="D204">
        <v>84</v>
      </c>
      <c r="E204" s="10" t="s">
        <v>17</v>
      </c>
      <c r="F204" s="11">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241</v>
      </c>
      <c r="C205" t="s">
        <v>18</v>
      </c>
      <c r="D205">
        <v>56</v>
      </c>
      <c r="E205" s="10" t="s">
        <v>46</v>
      </c>
      <c r="F205" s="11">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242</v>
      </c>
      <c r="C206" t="s">
        <v>18</v>
      </c>
      <c r="D206">
        <v>63</v>
      </c>
      <c r="E206" s="10" t="s">
        <v>40</v>
      </c>
      <c r="F206" s="11">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243</v>
      </c>
      <c r="C207" t="s">
        <v>43</v>
      </c>
      <c r="D207">
        <v>83</v>
      </c>
      <c r="E207" s="10" t="s">
        <v>40</v>
      </c>
      <c r="F207" s="11">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244</v>
      </c>
      <c r="C208" t="s">
        <v>49</v>
      </c>
      <c r="D208">
        <v>134</v>
      </c>
      <c r="E208" s="10" t="s">
        <v>17</v>
      </c>
      <c r="F208" s="11">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245</v>
      </c>
      <c r="C209" t="s">
        <v>32</v>
      </c>
      <c r="D209">
        <v>73</v>
      </c>
      <c r="E209" s="10" t="s">
        <v>40</v>
      </c>
      <c r="F209" s="11">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246</v>
      </c>
      <c r="C210" t="s">
        <v>41</v>
      </c>
      <c r="D210">
        <v>6</v>
      </c>
      <c r="E210" s="10" t="s">
        <v>46</v>
      </c>
      <c r="F210" s="11">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247</v>
      </c>
      <c r="C211" t="s">
        <v>50</v>
      </c>
      <c r="D211">
        <v>46</v>
      </c>
      <c r="E211" s="10" t="s">
        <v>27</v>
      </c>
      <c r="F211" s="11">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248</v>
      </c>
      <c r="C212" t="s">
        <v>41</v>
      </c>
      <c r="D212">
        <v>121</v>
      </c>
      <c r="E212" s="10" t="s">
        <v>40</v>
      </c>
      <c r="F212" s="11">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249</v>
      </c>
      <c r="C213" t="s">
        <v>18</v>
      </c>
      <c r="D213">
        <v>61</v>
      </c>
      <c r="E213" s="10" t="s">
        <v>33</v>
      </c>
      <c r="F213" s="11">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250</v>
      </c>
      <c r="C214" t="s">
        <v>49</v>
      </c>
      <c r="D214">
        <v>144</v>
      </c>
      <c r="E214" s="10" t="s">
        <v>17</v>
      </c>
      <c r="F214" s="11">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251</v>
      </c>
      <c r="C215" t="s">
        <v>50</v>
      </c>
      <c r="D215">
        <v>145</v>
      </c>
      <c r="E215" s="10" t="s">
        <v>17</v>
      </c>
      <c r="F215" s="11">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252</v>
      </c>
      <c r="C216" t="s">
        <v>26</v>
      </c>
      <c r="D216">
        <v>85</v>
      </c>
      <c r="E216" s="10" t="s">
        <v>46</v>
      </c>
      <c r="F216" s="11">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253</v>
      </c>
      <c r="C217" t="s">
        <v>50</v>
      </c>
      <c r="D217">
        <v>13</v>
      </c>
      <c r="E217" s="10" t="s">
        <v>33</v>
      </c>
      <c r="F217" s="11">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254</v>
      </c>
      <c r="C218" t="s">
        <v>16</v>
      </c>
      <c r="D218">
        <v>142</v>
      </c>
      <c r="E218" s="10" t="s">
        <v>40</v>
      </c>
      <c r="F218" s="11">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255</v>
      </c>
      <c r="C219" t="s">
        <v>49</v>
      </c>
      <c r="D219">
        <v>28</v>
      </c>
      <c r="E219" s="10" t="s">
        <v>27</v>
      </c>
      <c r="F219" s="11">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256</v>
      </c>
      <c r="C220" t="s">
        <v>49</v>
      </c>
      <c r="D220">
        <v>119</v>
      </c>
      <c r="E220" s="10" t="s">
        <v>40</v>
      </c>
      <c r="F220" s="11">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257</v>
      </c>
      <c r="C221" t="s">
        <v>41</v>
      </c>
      <c r="D221">
        <v>65</v>
      </c>
      <c r="E221" s="10" t="s">
        <v>46</v>
      </c>
      <c r="F221" s="11">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258</v>
      </c>
      <c r="C222" t="s">
        <v>23</v>
      </c>
      <c r="D222">
        <v>68</v>
      </c>
      <c r="E222" s="10" t="s">
        <v>46</v>
      </c>
      <c r="F222" s="11">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259</v>
      </c>
      <c r="C223" t="s">
        <v>43</v>
      </c>
      <c r="D223">
        <v>72</v>
      </c>
      <c r="E223" s="10" t="s">
        <v>27</v>
      </c>
      <c r="F223" s="11">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260</v>
      </c>
      <c r="C224" t="s">
        <v>43</v>
      </c>
      <c r="D224">
        <v>63</v>
      </c>
      <c r="E224" s="10" t="s">
        <v>17</v>
      </c>
      <c r="F224" s="11">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261</v>
      </c>
      <c r="C225" t="s">
        <v>22</v>
      </c>
      <c r="D225">
        <v>139</v>
      </c>
      <c r="E225" s="10" t="s">
        <v>40</v>
      </c>
      <c r="F225" s="11">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262</v>
      </c>
      <c r="C226" t="s">
        <v>49</v>
      </c>
      <c r="D226">
        <v>59</v>
      </c>
      <c r="E226" s="10" t="s">
        <v>40</v>
      </c>
      <c r="F226" s="11">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263</v>
      </c>
      <c r="C227" t="s">
        <v>35</v>
      </c>
      <c r="D227">
        <v>138</v>
      </c>
      <c r="E227" s="10" t="s">
        <v>17</v>
      </c>
      <c r="F227" s="11">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264</v>
      </c>
      <c r="C228" t="s">
        <v>22</v>
      </c>
      <c r="D228">
        <v>47</v>
      </c>
      <c r="E228" s="10" t="s">
        <v>27</v>
      </c>
      <c r="F228" s="11">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265</v>
      </c>
      <c r="C229" t="s">
        <v>35</v>
      </c>
      <c r="D229">
        <v>74</v>
      </c>
      <c r="E229" s="10" t="s">
        <v>27</v>
      </c>
      <c r="F229" s="11">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266</v>
      </c>
      <c r="C230" t="s">
        <v>43</v>
      </c>
      <c r="D230">
        <v>65</v>
      </c>
      <c r="E230" s="10" t="s">
        <v>27</v>
      </c>
      <c r="F230" s="11">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267</v>
      </c>
      <c r="C231" t="s">
        <v>32</v>
      </c>
      <c r="D231">
        <v>123</v>
      </c>
      <c r="E231" s="10" t="s">
        <v>46</v>
      </c>
      <c r="F231" s="11">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268</v>
      </c>
      <c r="C232" t="s">
        <v>43</v>
      </c>
      <c r="D232">
        <v>90</v>
      </c>
      <c r="E232" s="10" t="s">
        <v>40</v>
      </c>
      <c r="F232" s="11">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269</v>
      </c>
      <c r="C233" t="s">
        <v>18</v>
      </c>
      <c r="D233">
        <v>127</v>
      </c>
      <c r="E233" s="10" t="s">
        <v>17</v>
      </c>
      <c r="F233" s="11">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270</v>
      </c>
      <c r="C234" t="s">
        <v>30</v>
      </c>
      <c r="D234">
        <v>60</v>
      </c>
      <c r="E234" s="10" t="s">
        <v>27</v>
      </c>
      <c r="F234" s="11">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271</v>
      </c>
      <c r="C235" t="s">
        <v>22</v>
      </c>
      <c r="D235">
        <v>94</v>
      </c>
      <c r="E235" s="10" t="s">
        <v>17</v>
      </c>
      <c r="F235" s="11">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272</v>
      </c>
      <c r="C236" t="s">
        <v>32</v>
      </c>
      <c r="D236">
        <v>54</v>
      </c>
      <c r="E236" s="10" t="s">
        <v>27</v>
      </c>
      <c r="F236" s="11">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273</v>
      </c>
      <c r="C237" t="s">
        <v>43</v>
      </c>
      <c r="D237">
        <v>104</v>
      </c>
      <c r="E237" s="10" t="s">
        <v>27</v>
      </c>
      <c r="F237" s="11">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274</v>
      </c>
      <c r="C238" t="s">
        <v>37</v>
      </c>
      <c r="D238">
        <v>100</v>
      </c>
      <c r="E238" s="10" t="s">
        <v>27</v>
      </c>
      <c r="F238" s="11">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275</v>
      </c>
      <c r="C239" t="s">
        <v>35</v>
      </c>
      <c r="D239">
        <v>84</v>
      </c>
      <c r="E239" s="10" t="s">
        <v>27</v>
      </c>
      <c r="F239" s="11">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276</v>
      </c>
      <c r="C240" t="s">
        <v>16</v>
      </c>
      <c r="D240">
        <v>92</v>
      </c>
      <c r="E240" s="10" t="s">
        <v>33</v>
      </c>
      <c r="F240" s="11">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277</v>
      </c>
      <c r="C241" t="s">
        <v>45</v>
      </c>
      <c r="D241">
        <v>64</v>
      </c>
      <c r="E241" s="10" t="s">
        <v>17</v>
      </c>
      <c r="F241" s="11">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278</v>
      </c>
      <c r="C242" t="s">
        <v>26</v>
      </c>
      <c r="D242">
        <v>89</v>
      </c>
      <c r="E242" s="10" t="s">
        <v>40</v>
      </c>
      <c r="F242" s="11">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279</v>
      </c>
      <c r="C243" t="s">
        <v>54</v>
      </c>
      <c r="D243">
        <v>40</v>
      </c>
      <c r="E243" s="10" t="s">
        <v>27</v>
      </c>
      <c r="F243" s="11">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280</v>
      </c>
      <c r="C244" t="s">
        <v>49</v>
      </c>
      <c r="D244">
        <v>75</v>
      </c>
      <c r="E244" s="10" t="s">
        <v>46</v>
      </c>
      <c r="F244" s="11">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281</v>
      </c>
      <c r="C245" t="s">
        <v>18</v>
      </c>
      <c r="D245">
        <v>106</v>
      </c>
      <c r="E245" s="10" t="s">
        <v>33</v>
      </c>
      <c r="F245" s="11">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282</v>
      </c>
      <c r="C246" t="s">
        <v>45</v>
      </c>
      <c r="D246">
        <v>58</v>
      </c>
      <c r="E246" s="10" t="s">
        <v>27</v>
      </c>
      <c r="F246" s="11">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283</v>
      </c>
      <c r="C247" t="s">
        <v>35</v>
      </c>
      <c r="D247">
        <v>84</v>
      </c>
      <c r="E247" s="10" t="s">
        <v>33</v>
      </c>
      <c r="F247" s="11">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284</v>
      </c>
      <c r="C248" t="s">
        <v>43</v>
      </c>
      <c r="D248">
        <v>140</v>
      </c>
      <c r="E248" s="10" t="s">
        <v>33</v>
      </c>
      <c r="F248" s="11">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285</v>
      </c>
      <c r="C249" t="s">
        <v>45</v>
      </c>
      <c r="D249">
        <v>67</v>
      </c>
      <c r="E249" s="10" t="s">
        <v>33</v>
      </c>
      <c r="F249" s="11">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286</v>
      </c>
      <c r="C250" t="s">
        <v>22</v>
      </c>
      <c r="D250">
        <v>126</v>
      </c>
      <c r="E250" s="10" t="s">
        <v>33</v>
      </c>
      <c r="F250" s="11">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287</v>
      </c>
      <c r="C251" t="s">
        <v>22</v>
      </c>
      <c r="D251">
        <v>89</v>
      </c>
      <c r="E251" s="10" t="s">
        <v>27</v>
      </c>
      <c r="F251" s="11">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288</v>
      </c>
      <c r="C252" t="s">
        <v>26</v>
      </c>
      <c r="D252">
        <v>56</v>
      </c>
      <c r="E252" s="10" t="s">
        <v>17</v>
      </c>
      <c r="F252" s="11">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289</v>
      </c>
      <c r="C253" t="s">
        <v>32</v>
      </c>
      <c r="D253">
        <v>48</v>
      </c>
      <c r="E253" s="10" t="s">
        <v>27</v>
      </c>
      <c r="F253" s="11">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290</v>
      </c>
      <c r="C254" t="s">
        <v>22</v>
      </c>
      <c r="D254">
        <v>55</v>
      </c>
      <c r="E254" s="10" t="s">
        <v>17</v>
      </c>
      <c r="F254" s="11">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291</v>
      </c>
      <c r="C255" t="s">
        <v>30</v>
      </c>
      <c r="D255">
        <v>88</v>
      </c>
      <c r="E255" s="10" t="s">
        <v>46</v>
      </c>
      <c r="F255" s="11">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292</v>
      </c>
      <c r="C256" t="s">
        <v>26</v>
      </c>
      <c r="D256">
        <v>102</v>
      </c>
      <c r="E256" s="10" t="s">
        <v>33</v>
      </c>
      <c r="F256" s="11">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293</v>
      </c>
      <c r="C257" t="s">
        <v>30</v>
      </c>
      <c r="D257">
        <v>155</v>
      </c>
      <c r="E257" s="10" t="s">
        <v>46</v>
      </c>
      <c r="F257" s="11">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294</v>
      </c>
      <c r="C258" t="s">
        <v>22</v>
      </c>
      <c r="D258">
        <v>63</v>
      </c>
      <c r="E258" s="10" t="s">
        <v>46</v>
      </c>
      <c r="F258" s="11">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295</v>
      </c>
      <c r="C259" t="s">
        <v>37</v>
      </c>
      <c r="D259">
        <v>59</v>
      </c>
      <c r="E259" s="10" t="s">
        <v>33</v>
      </c>
      <c r="F259" s="11">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296</v>
      </c>
      <c r="C260" t="s">
        <v>37</v>
      </c>
      <c r="D260">
        <v>144</v>
      </c>
      <c r="E260" s="10" t="s">
        <v>27</v>
      </c>
      <c r="F260" s="11">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297</v>
      </c>
      <c r="C261" t="s">
        <v>35</v>
      </c>
      <c r="D261">
        <v>113</v>
      </c>
      <c r="E261" s="10" t="s">
        <v>40</v>
      </c>
      <c r="F261" s="11">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298</v>
      </c>
      <c r="C262" t="s">
        <v>50</v>
      </c>
      <c r="D262">
        <v>154</v>
      </c>
      <c r="E262" s="10" t="s">
        <v>17</v>
      </c>
      <c r="F262" s="11">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299</v>
      </c>
      <c r="C263" t="s">
        <v>50</v>
      </c>
      <c r="D263">
        <v>58</v>
      </c>
      <c r="E263" s="10" t="s">
        <v>33</v>
      </c>
      <c r="F263" s="11">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300</v>
      </c>
      <c r="C264" t="s">
        <v>32</v>
      </c>
      <c r="D264">
        <v>63</v>
      </c>
      <c r="E264" s="10" t="s">
        <v>46</v>
      </c>
      <c r="F264" s="11">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301</v>
      </c>
      <c r="C265" t="s">
        <v>43</v>
      </c>
      <c r="D265">
        <v>59</v>
      </c>
      <c r="E265" s="10" t="s">
        <v>27</v>
      </c>
      <c r="F265" s="11">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302</v>
      </c>
      <c r="C266" t="s">
        <v>41</v>
      </c>
      <c r="D266">
        <v>129</v>
      </c>
      <c r="E266" s="10" t="s">
        <v>46</v>
      </c>
      <c r="F266" s="11">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303</v>
      </c>
      <c r="C267" t="s">
        <v>23</v>
      </c>
      <c r="D267">
        <v>101</v>
      </c>
      <c r="E267" s="10" t="s">
        <v>40</v>
      </c>
      <c r="F267" s="11">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304</v>
      </c>
      <c r="C268" t="s">
        <v>54</v>
      </c>
      <c r="D268">
        <v>154</v>
      </c>
      <c r="E268" s="10" t="s">
        <v>27</v>
      </c>
      <c r="F268" s="11">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305</v>
      </c>
      <c r="C269" t="s">
        <v>45</v>
      </c>
      <c r="D269">
        <v>131</v>
      </c>
      <c r="E269" s="10" t="s">
        <v>27</v>
      </c>
      <c r="F269" s="11">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306</v>
      </c>
      <c r="C270" t="s">
        <v>37</v>
      </c>
      <c r="D270">
        <v>111</v>
      </c>
      <c r="E270" s="10" t="s">
        <v>40</v>
      </c>
      <c r="F270" s="11">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307</v>
      </c>
      <c r="C271" t="s">
        <v>50</v>
      </c>
      <c r="D271">
        <v>142</v>
      </c>
      <c r="E271" s="10" t="s">
        <v>40</v>
      </c>
      <c r="F271" s="11">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308</v>
      </c>
      <c r="C272" t="s">
        <v>26</v>
      </c>
      <c r="D272">
        <v>93</v>
      </c>
      <c r="E272" s="10" t="s">
        <v>46</v>
      </c>
      <c r="F272" s="11">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309</v>
      </c>
      <c r="C273" t="s">
        <v>50</v>
      </c>
      <c r="D273">
        <v>125</v>
      </c>
      <c r="E273" s="10" t="s">
        <v>17</v>
      </c>
      <c r="F273" s="11">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310</v>
      </c>
      <c r="C274" t="s">
        <v>41</v>
      </c>
      <c r="D274">
        <v>76</v>
      </c>
      <c r="E274" s="10" t="s">
        <v>27</v>
      </c>
      <c r="F274" s="11">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311</v>
      </c>
      <c r="C275" t="s">
        <v>35</v>
      </c>
      <c r="D275">
        <v>69</v>
      </c>
      <c r="E275" s="10" t="s">
        <v>46</v>
      </c>
      <c r="F275" s="11">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312</v>
      </c>
      <c r="C276" t="s">
        <v>43</v>
      </c>
      <c r="D276">
        <v>149</v>
      </c>
      <c r="E276" s="10" t="s">
        <v>17</v>
      </c>
      <c r="F276" s="11">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313</v>
      </c>
      <c r="C277" t="s">
        <v>50</v>
      </c>
      <c r="D277">
        <v>57</v>
      </c>
      <c r="E277" s="10" t="s">
        <v>46</v>
      </c>
      <c r="F277" s="11">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314</v>
      </c>
      <c r="C278" t="s">
        <v>22</v>
      </c>
      <c r="D278">
        <v>113</v>
      </c>
      <c r="E278" s="10" t="s">
        <v>27</v>
      </c>
      <c r="F278" s="11">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315</v>
      </c>
      <c r="C279" t="s">
        <v>16</v>
      </c>
      <c r="D279">
        <v>160</v>
      </c>
      <c r="E279" s="10" t="s">
        <v>17</v>
      </c>
      <c r="F279" s="11">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316</v>
      </c>
      <c r="C280" t="s">
        <v>32</v>
      </c>
      <c r="D280">
        <v>158</v>
      </c>
      <c r="E280" s="10" t="s">
        <v>33</v>
      </c>
      <c r="F280" s="11">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317</v>
      </c>
      <c r="C281" t="s">
        <v>35</v>
      </c>
      <c r="D281">
        <v>77</v>
      </c>
      <c r="E281" s="10" t="s">
        <v>17</v>
      </c>
      <c r="F281" s="11">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318</v>
      </c>
      <c r="C282" t="s">
        <v>49</v>
      </c>
      <c r="D282">
        <v>118</v>
      </c>
      <c r="E282" s="10" t="s">
        <v>40</v>
      </c>
      <c r="F282" s="11">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319</v>
      </c>
      <c r="C283" t="s">
        <v>54</v>
      </c>
      <c r="D283">
        <v>75</v>
      </c>
      <c r="E283" s="10" t="s">
        <v>27</v>
      </c>
      <c r="F283" s="11">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320</v>
      </c>
      <c r="C284" t="s">
        <v>22</v>
      </c>
      <c r="D284">
        <v>103</v>
      </c>
      <c r="E284" s="10" t="s">
        <v>17</v>
      </c>
      <c r="F284" s="11">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321</v>
      </c>
      <c r="C285" t="s">
        <v>35</v>
      </c>
      <c r="D285">
        <v>116</v>
      </c>
      <c r="E285" s="10" t="s">
        <v>40</v>
      </c>
      <c r="F285" s="11">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322</v>
      </c>
      <c r="C286" t="s">
        <v>37</v>
      </c>
      <c r="D286">
        <v>61</v>
      </c>
      <c r="E286" s="10" t="s">
        <v>33</v>
      </c>
      <c r="F286" s="11">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323</v>
      </c>
      <c r="C287" t="s">
        <v>50</v>
      </c>
      <c r="D287">
        <v>126</v>
      </c>
      <c r="E287" s="10" t="s">
        <v>27</v>
      </c>
      <c r="F287" s="11">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324</v>
      </c>
      <c r="C288" t="s">
        <v>23</v>
      </c>
      <c r="D288">
        <v>141</v>
      </c>
      <c r="E288" s="10" t="s">
        <v>46</v>
      </c>
      <c r="F288" s="11">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325</v>
      </c>
      <c r="C289" t="s">
        <v>32</v>
      </c>
      <c r="D289">
        <v>95</v>
      </c>
      <c r="E289" s="10" t="s">
        <v>40</v>
      </c>
      <c r="F289" s="11">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326</v>
      </c>
      <c r="C290" t="s">
        <v>54</v>
      </c>
      <c r="D290">
        <v>39</v>
      </c>
      <c r="E290" s="10" t="s">
        <v>33</v>
      </c>
      <c r="F290" s="11">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327</v>
      </c>
      <c r="C291" t="s">
        <v>22</v>
      </c>
      <c r="D291">
        <v>127</v>
      </c>
      <c r="E291" s="10" t="s">
        <v>27</v>
      </c>
      <c r="F291" s="11">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328</v>
      </c>
      <c r="C292" t="s">
        <v>37</v>
      </c>
      <c r="D292">
        <v>78</v>
      </c>
      <c r="E292" s="10" t="s">
        <v>27</v>
      </c>
      <c r="F292" s="11">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329</v>
      </c>
      <c r="C293" t="s">
        <v>49</v>
      </c>
      <c r="D293">
        <v>40</v>
      </c>
      <c r="E293" s="10" t="s">
        <v>27</v>
      </c>
      <c r="F293" s="11">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330</v>
      </c>
      <c r="C294" t="s">
        <v>37</v>
      </c>
      <c r="D294">
        <v>56</v>
      </c>
      <c r="E294" s="10" t="s">
        <v>33</v>
      </c>
      <c r="F294" s="11">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331</v>
      </c>
      <c r="C295" t="s">
        <v>54</v>
      </c>
      <c r="D295">
        <v>59</v>
      </c>
      <c r="E295" s="10" t="s">
        <v>46</v>
      </c>
      <c r="F295" s="11">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332</v>
      </c>
      <c r="C296" t="s">
        <v>50</v>
      </c>
      <c r="D296">
        <v>30</v>
      </c>
      <c r="E296" s="10" t="s">
        <v>27</v>
      </c>
      <c r="F296" s="11">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333</v>
      </c>
      <c r="C297" t="s">
        <v>49</v>
      </c>
      <c r="D297">
        <v>63</v>
      </c>
      <c r="E297" s="10" t="s">
        <v>17</v>
      </c>
      <c r="F297" s="11">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334</v>
      </c>
      <c r="C298" t="s">
        <v>26</v>
      </c>
      <c r="D298">
        <v>56</v>
      </c>
      <c r="E298" s="10" t="s">
        <v>40</v>
      </c>
      <c r="F298" s="11">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335</v>
      </c>
      <c r="C299" t="s">
        <v>41</v>
      </c>
      <c r="D299">
        <v>95</v>
      </c>
      <c r="E299" s="10" t="s">
        <v>17</v>
      </c>
      <c r="F299" s="11">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336</v>
      </c>
      <c r="C300" t="s">
        <v>18</v>
      </c>
      <c r="D300">
        <v>128</v>
      </c>
      <c r="E300" s="10" t="s">
        <v>46</v>
      </c>
      <c r="F300" s="11">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337</v>
      </c>
      <c r="C301" t="s">
        <v>32</v>
      </c>
      <c r="D301">
        <v>49</v>
      </c>
      <c r="E301" s="10" t="s">
        <v>17</v>
      </c>
      <c r="F301" s="11">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338</v>
      </c>
      <c r="C302" t="s">
        <v>18</v>
      </c>
      <c r="D302">
        <v>89</v>
      </c>
      <c r="E302" s="10" t="s">
        <v>33</v>
      </c>
      <c r="F302" s="11">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339</v>
      </c>
      <c r="C303" t="s">
        <v>43</v>
      </c>
      <c r="D303">
        <v>87</v>
      </c>
      <c r="E303" s="10" t="s">
        <v>17</v>
      </c>
      <c r="F303" s="11">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340</v>
      </c>
      <c r="C304" t="s">
        <v>16</v>
      </c>
      <c r="D304">
        <v>60</v>
      </c>
      <c r="E304" s="10" t="s">
        <v>27</v>
      </c>
      <c r="F304" s="11">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341</v>
      </c>
      <c r="C305" t="s">
        <v>30</v>
      </c>
      <c r="D305">
        <v>42</v>
      </c>
      <c r="E305" s="10" t="s">
        <v>33</v>
      </c>
      <c r="F305" s="11">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342</v>
      </c>
      <c r="C306" t="s">
        <v>45</v>
      </c>
      <c r="D306">
        <v>99</v>
      </c>
      <c r="E306" s="10" t="s">
        <v>27</v>
      </c>
      <c r="F306" s="11">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343</v>
      </c>
      <c r="C307" t="s">
        <v>26</v>
      </c>
      <c r="D307">
        <v>20</v>
      </c>
      <c r="E307" s="10" t="s">
        <v>33</v>
      </c>
      <c r="F307" s="11">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344</v>
      </c>
      <c r="C308" t="s">
        <v>49</v>
      </c>
      <c r="D308">
        <v>65</v>
      </c>
      <c r="E308" s="10" t="s">
        <v>27</v>
      </c>
      <c r="F308" s="11">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345</v>
      </c>
      <c r="C309" t="s">
        <v>50</v>
      </c>
      <c r="D309">
        <v>71</v>
      </c>
      <c r="E309" s="10" t="s">
        <v>17</v>
      </c>
      <c r="F309" s="11">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346</v>
      </c>
      <c r="C310" t="s">
        <v>22</v>
      </c>
      <c r="D310">
        <v>95</v>
      </c>
      <c r="E310" s="10" t="s">
        <v>46</v>
      </c>
      <c r="F310" s="11">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347</v>
      </c>
      <c r="C311" t="s">
        <v>26</v>
      </c>
      <c r="D311">
        <v>81</v>
      </c>
      <c r="E311" s="10" t="s">
        <v>40</v>
      </c>
      <c r="F311" s="11">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348</v>
      </c>
      <c r="C312" t="s">
        <v>35</v>
      </c>
      <c r="D312">
        <v>137</v>
      </c>
      <c r="E312" s="10" t="s">
        <v>40</v>
      </c>
      <c r="F312" s="11">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349</v>
      </c>
      <c r="C313" t="s">
        <v>35</v>
      </c>
      <c r="D313">
        <v>40</v>
      </c>
      <c r="E313" s="10" t="s">
        <v>46</v>
      </c>
      <c r="F313" s="11">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350</v>
      </c>
      <c r="C314" t="s">
        <v>45</v>
      </c>
      <c r="D314">
        <v>111</v>
      </c>
      <c r="E314" s="10" t="s">
        <v>27</v>
      </c>
      <c r="F314" s="11">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351</v>
      </c>
      <c r="C315" t="s">
        <v>50</v>
      </c>
      <c r="D315">
        <v>106</v>
      </c>
      <c r="E315" s="10" t="s">
        <v>27</v>
      </c>
      <c r="F315" s="11">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352</v>
      </c>
      <c r="C316" t="s">
        <v>30</v>
      </c>
      <c r="D316">
        <v>133</v>
      </c>
      <c r="E316" s="10" t="s">
        <v>33</v>
      </c>
      <c r="F316" s="11">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353</v>
      </c>
      <c r="C317" t="s">
        <v>37</v>
      </c>
      <c r="D317">
        <v>38</v>
      </c>
      <c r="E317" s="10" t="s">
        <v>27</v>
      </c>
      <c r="F317" s="11">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354</v>
      </c>
      <c r="C318" t="s">
        <v>54</v>
      </c>
      <c r="D318">
        <v>130</v>
      </c>
      <c r="E318" s="10" t="s">
        <v>46</v>
      </c>
      <c r="F318" s="11">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355</v>
      </c>
      <c r="C319" t="s">
        <v>49</v>
      </c>
      <c r="D319">
        <v>23</v>
      </c>
      <c r="E319" s="10" t="s">
        <v>33</v>
      </c>
      <c r="F319" s="11">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356</v>
      </c>
      <c r="C320" t="s">
        <v>54</v>
      </c>
      <c r="D320">
        <v>124</v>
      </c>
      <c r="E320" s="10" t="s">
        <v>27</v>
      </c>
      <c r="F320" s="11">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357</v>
      </c>
      <c r="C321" t="s">
        <v>26</v>
      </c>
      <c r="D321">
        <v>107</v>
      </c>
      <c r="E321" s="10" t="s">
        <v>27</v>
      </c>
      <c r="F321" s="11">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358</v>
      </c>
      <c r="C322" t="s">
        <v>35</v>
      </c>
      <c r="D322">
        <v>60</v>
      </c>
      <c r="E322" s="10" t="s">
        <v>17</v>
      </c>
      <c r="F322" s="11">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359</v>
      </c>
      <c r="C323" t="s">
        <v>35</v>
      </c>
      <c r="D323">
        <v>158</v>
      </c>
      <c r="E323" s="10" t="s">
        <v>46</v>
      </c>
      <c r="F323" s="11">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360</v>
      </c>
      <c r="C324" t="s">
        <v>43</v>
      </c>
      <c r="D324">
        <v>110</v>
      </c>
      <c r="E324" s="10" t="s">
        <v>46</v>
      </c>
      <c r="F324" s="11">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361</v>
      </c>
      <c r="C325" t="s">
        <v>18</v>
      </c>
      <c r="D325">
        <v>70</v>
      </c>
      <c r="E325" s="10" t="s">
        <v>46</v>
      </c>
      <c r="F325" s="11">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362</v>
      </c>
      <c r="C326" t="s">
        <v>18</v>
      </c>
      <c r="D326">
        <v>150</v>
      </c>
      <c r="E326" s="10" t="s">
        <v>17</v>
      </c>
      <c r="F326" s="11">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363</v>
      </c>
      <c r="C327" t="s">
        <v>37</v>
      </c>
      <c r="D327">
        <v>36</v>
      </c>
      <c r="E327" s="10" t="s">
        <v>27</v>
      </c>
      <c r="F327" s="11">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364</v>
      </c>
      <c r="C328" t="s">
        <v>54</v>
      </c>
      <c r="D328">
        <v>74</v>
      </c>
      <c r="E328" s="10" t="s">
        <v>27</v>
      </c>
      <c r="F328" s="11">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365</v>
      </c>
      <c r="C329" t="s">
        <v>22</v>
      </c>
      <c r="D329">
        <v>75</v>
      </c>
      <c r="E329" s="10" t="s">
        <v>27</v>
      </c>
      <c r="F329" s="11">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366</v>
      </c>
      <c r="C330" t="s">
        <v>41</v>
      </c>
      <c r="D330">
        <v>70</v>
      </c>
      <c r="E330" s="10" t="s">
        <v>40</v>
      </c>
      <c r="F330" s="11">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367</v>
      </c>
      <c r="C331" t="s">
        <v>43</v>
      </c>
      <c r="D331">
        <v>23</v>
      </c>
      <c r="E331" s="10" t="s">
        <v>46</v>
      </c>
      <c r="F331" s="11">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368</v>
      </c>
      <c r="C332" t="s">
        <v>45</v>
      </c>
      <c r="D332">
        <v>104</v>
      </c>
      <c r="E332" s="10" t="s">
        <v>33</v>
      </c>
      <c r="F332" s="11">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369</v>
      </c>
      <c r="C333" t="s">
        <v>18</v>
      </c>
      <c r="D333">
        <v>95</v>
      </c>
      <c r="E333" s="10" t="s">
        <v>40</v>
      </c>
      <c r="F333" s="11">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370</v>
      </c>
      <c r="C334" t="s">
        <v>32</v>
      </c>
      <c r="D334">
        <v>49</v>
      </c>
      <c r="E334" s="10" t="s">
        <v>17</v>
      </c>
      <c r="F334" s="11">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371</v>
      </c>
      <c r="C335" t="s">
        <v>50</v>
      </c>
      <c r="D335">
        <v>8</v>
      </c>
      <c r="E335" s="10" t="s">
        <v>46</v>
      </c>
      <c r="F335" s="11">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372</v>
      </c>
      <c r="C336" t="s">
        <v>18</v>
      </c>
      <c r="D336">
        <v>157</v>
      </c>
      <c r="E336" s="10" t="s">
        <v>17</v>
      </c>
      <c r="F336" s="11">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373</v>
      </c>
      <c r="C337" t="s">
        <v>26</v>
      </c>
      <c r="D337">
        <v>74</v>
      </c>
      <c r="E337" s="10" t="s">
        <v>27</v>
      </c>
      <c r="F337" s="11">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374</v>
      </c>
      <c r="C338" t="s">
        <v>43</v>
      </c>
      <c r="D338">
        <v>72</v>
      </c>
      <c r="E338" s="10" t="s">
        <v>40</v>
      </c>
      <c r="F338" s="11">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375</v>
      </c>
      <c r="C339" t="s">
        <v>26</v>
      </c>
      <c r="D339">
        <v>79</v>
      </c>
      <c r="E339" s="10" t="s">
        <v>27</v>
      </c>
      <c r="F339" s="11">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376</v>
      </c>
      <c r="C340" t="s">
        <v>54</v>
      </c>
      <c r="D340">
        <v>23</v>
      </c>
      <c r="E340" s="10" t="s">
        <v>27</v>
      </c>
      <c r="F340" s="11">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377</v>
      </c>
      <c r="C341" t="s">
        <v>22</v>
      </c>
      <c r="D341">
        <v>69</v>
      </c>
      <c r="E341" s="10" t="s">
        <v>27</v>
      </c>
      <c r="F341" s="11">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378</v>
      </c>
      <c r="C342" t="s">
        <v>35</v>
      </c>
      <c r="D342">
        <v>64</v>
      </c>
      <c r="E342" s="10" t="s">
        <v>27</v>
      </c>
      <c r="F342" s="11">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379</v>
      </c>
      <c r="C343" t="s">
        <v>23</v>
      </c>
      <c r="D343">
        <v>47</v>
      </c>
      <c r="E343" s="10" t="s">
        <v>17</v>
      </c>
      <c r="F343" s="11">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380</v>
      </c>
      <c r="C344" t="s">
        <v>26</v>
      </c>
      <c r="D344">
        <v>55</v>
      </c>
      <c r="E344" s="10" t="s">
        <v>40</v>
      </c>
      <c r="F344" s="11">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381</v>
      </c>
      <c r="C345" t="s">
        <v>45</v>
      </c>
      <c r="D345">
        <v>104</v>
      </c>
      <c r="E345" s="10" t="s">
        <v>40</v>
      </c>
      <c r="F345" s="11">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382</v>
      </c>
      <c r="C346" t="s">
        <v>23</v>
      </c>
      <c r="D346">
        <v>116</v>
      </c>
      <c r="E346" s="10" t="s">
        <v>27</v>
      </c>
      <c r="F346" s="11">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383</v>
      </c>
      <c r="C347" t="s">
        <v>54</v>
      </c>
      <c r="D347">
        <v>99</v>
      </c>
      <c r="E347" s="10" t="s">
        <v>40</v>
      </c>
      <c r="F347" s="11">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384</v>
      </c>
      <c r="C348" t="s">
        <v>45</v>
      </c>
      <c r="D348">
        <v>84</v>
      </c>
      <c r="E348" s="10" t="s">
        <v>40</v>
      </c>
      <c r="F348" s="11">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385</v>
      </c>
      <c r="C349" t="s">
        <v>50</v>
      </c>
      <c r="D349">
        <v>159</v>
      </c>
      <c r="E349" s="10" t="s">
        <v>40</v>
      </c>
      <c r="F349" s="11">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386</v>
      </c>
      <c r="C350" t="s">
        <v>37</v>
      </c>
      <c r="D350">
        <v>25</v>
      </c>
      <c r="E350" s="10" t="s">
        <v>17</v>
      </c>
      <c r="F350" s="11">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387</v>
      </c>
      <c r="C351" t="s">
        <v>50</v>
      </c>
      <c r="D351">
        <v>53</v>
      </c>
      <c r="E351" s="10" t="s">
        <v>46</v>
      </c>
      <c r="F351" s="11">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388</v>
      </c>
      <c r="C352" t="s">
        <v>50</v>
      </c>
      <c r="D352">
        <v>89</v>
      </c>
      <c r="E352" s="10" t="s">
        <v>17</v>
      </c>
      <c r="F352" s="11">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389</v>
      </c>
      <c r="C353" t="s">
        <v>30</v>
      </c>
      <c r="D353">
        <v>73</v>
      </c>
      <c r="E353" s="10" t="s">
        <v>27</v>
      </c>
      <c r="F353" s="11">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390</v>
      </c>
      <c r="C354" t="s">
        <v>54</v>
      </c>
      <c r="D354">
        <v>50</v>
      </c>
      <c r="E354" s="10" t="s">
        <v>27</v>
      </c>
      <c r="F354" s="11">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391</v>
      </c>
      <c r="C355" t="s">
        <v>32</v>
      </c>
      <c r="D355">
        <v>98</v>
      </c>
      <c r="E355" s="10" t="s">
        <v>27</v>
      </c>
      <c r="F355" s="11">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392</v>
      </c>
      <c r="C356" t="s">
        <v>49</v>
      </c>
      <c r="D356">
        <v>114</v>
      </c>
      <c r="E356" s="10" t="s">
        <v>40</v>
      </c>
      <c r="F356" s="11">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393</v>
      </c>
      <c r="C357" t="s">
        <v>35</v>
      </c>
      <c r="D357">
        <v>67</v>
      </c>
      <c r="E357" s="10" t="s">
        <v>40</v>
      </c>
      <c r="F357" s="11">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394</v>
      </c>
      <c r="C358" t="s">
        <v>26</v>
      </c>
      <c r="D358">
        <v>91</v>
      </c>
      <c r="E358" s="10" t="s">
        <v>27</v>
      </c>
      <c r="F358" s="11">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395</v>
      </c>
      <c r="C359" t="s">
        <v>41</v>
      </c>
      <c r="D359">
        <v>67</v>
      </c>
      <c r="E359" s="10" t="s">
        <v>27</v>
      </c>
      <c r="F359" s="11">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396</v>
      </c>
      <c r="C360" t="s">
        <v>49</v>
      </c>
      <c r="D360">
        <v>139</v>
      </c>
      <c r="E360" s="10" t="s">
        <v>17</v>
      </c>
      <c r="F360" s="11">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397</v>
      </c>
      <c r="C361" t="s">
        <v>41</v>
      </c>
      <c r="D361">
        <v>102</v>
      </c>
      <c r="E361" s="10" t="s">
        <v>17</v>
      </c>
      <c r="F361" s="11">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398</v>
      </c>
      <c r="C362" t="s">
        <v>18</v>
      </c>
      <c r="D362">
        <v>108</v>
      </c>
      <c r="E362" s="10" t="s">
        <v>33</v>
      </c>
      <c r="F362" s="11">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399</v>
      </c>
      <c r="C363" t="s">
        <v>37</v>
      </c>
      <c r="D363">
        <v>66</v>
      </c>
      <c r="E363" s="10" t="s">
        <v>27</v>
      </c>
      <c r="F363" s="11">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400</v>
      </c>
      <c r="C364" t="s">
        <v>43</v>
      </c>
      <c r="D364">
        <v>85</v>
      </c>
      <c r="E364" s="10" t="s">
        <v>17</v>
      </c>
      <c r="F364" s="11">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401</v>
      </c>
      <c r="C365" t="s">
        <v>35</v>
      </c>
      <c r="D365">
        <v>55</v>
      </c>
      <c r="E365" s="10" t="s">
        <v>33</v>
      </c>
      <c r="F365" s="11">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402</v>
      </c>
      <c r="C366" t="s">
        <v>18</v>
      </c>
      <c r="D366">
        <v>17</v>
      </c>
      <c r="E366" s="10" t="s">
        <v>46</v>
      </c>
      <c r="F366" s="11">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403</v>
      </c>
      <c r="C367" t="s">
        <v>35</v>
      </c>
      <c r="D367">
        <v>128</v>
      </c>
      <c r="E367" s="10" t="s">
        <v>46</v>
      </c>
      <c r="F367" s="11">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404</v>
      </c>
      <c r="C368" t="s">
        <v>54</v>
      </c>
      <c r="D368">
        <v>45</v>
      </c>
      <c r="E368" s="10" t="s">
        <v>33</v>
      </c>
      <c r="F368" s="11">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405</v>
      </c>
      <c r="C369" t="s">
        <v>18</v>
      </c>
      <c r="D369">
        <v>41</v>
      </c>
      <c r="E369" s="10" t="s">
        <v>46</v>
      </c>
      <c r="F369" s="11">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406</v>
      </c>
      <c r="C370" t="s">
        <v>23</v>
      </c>
      <c r="D370">
        <v>49</v>
      </c>
      <c r="E370" s="10" t="s">
        <v>46</v>
      </c>
      <c r="F370" s="11">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407</v>
      </c>
      <c r="C371" t="s">
        <v>22</v>
      </c>
      <c r="D371">
        <v>21</v>
      </c>
      <c r="E371" s="10" t="s">
        <v>40</v>
      </c>
      <c r="F371" s="11">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408</v>
      </c>
      <c r="C372" t="s">
        <v>50</v>
      </c>
      <c r="D372">
        <v>133</v>
      </c>
      <c r="E372" s="10" t="s">
        <v>33</v>
      </c>
      <c r="F372" s="11">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409</v>
      </c>
      <c r="C373" t="s">
        <v>16</v>
      </c>
      <c r="D373">
        <v>135</v>
      </c>
      <c r="E373" s="10" t="s">
        <v>27</v>
      </c>
      <c r="F373" s="11">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410</v>
      </c>
      <c r="C374" t="s">
        <v>49</v>
      </c>
      <c r="D374">
        <v>69</v>
      </c>
      <c r="E374" s="10" t="s">
        <v>33</v>
      </c>
      <c r="F374" s="11">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411</v>
      </c>
      <c r="C375" t="s">
        <v>45</v>
      </c>
      <c r="D375">
        <v>110</v>
      </c>
      <c r="E375" s="10" t="s">
        <v>40</v>
      </c>
      <c r="F375" s="11">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412</v>
      </c>
      <c r="C376" t="s">
        <v>41</v>
      </c>
      <c r="D376">
        <v>64</v>
      </c>
      <c r="E376" s="10" t="s">
        <v>17</v>
      </c>
      <c r="F376" s="11">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413</v>
      </c>
      <c r="C377" t="s">
        <v>26</v>
      </c>
      <c r="D377">
        <v>105</v>
      </c>
      <c r="E377" s="10" t="s">
        <v>46</v>
      </c>
      <c r="F377" s="11">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414</v>
      </c>
      <c r="C378" t="s">
        <v>41</v>
      </c>
      <c r="D378">
        <v>165</v>
      </c>
      <c r="E378" s="10" t="s">
        <v>27</v>
      </c>
      <c r="F378" s="11">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415</v>
      </c>
      <c r="C379" t="s">
        <v>54</v>
      </c>
      <c r="D379">
        <v>125</v>
      </c>
      <c r="E379" s="10" t="s">
        <v>27</v>
      </c>
      <c r="F379" s="11">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416</v>
      </c>
      <c r="C380" t="s">
        <v>26</v>
      </c>
      <c r="D380">
        <v>88</v>
      </c>
      <c r="E380" s="10" t="s">
        <v>17</v>
      </c>
      <c r="F380" s="11">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417</v>
      </c>
      <c r="C381" t="s">
        <v>49</v>
      </c>
      <c r="D381">
        <v>6</v>
      </c>
      <c r="E381" s="10" t="s">
        <v>17</v>
      </c>
      <c r="F381" s="11">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418</v>
      </c>
      <c r="C382" t="s">
        <v>43</v>
      </c>
      <c r="D382">
        <v>69</v>
      </c>
      <c r="E382" s="10" t="s">
        <v>33</v>
      </c>
      <c r="F382" s="11">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419</v>
      </c>
      <c r="C383" t="s">
        <v>18</v>
      </c>
      <c r="D383">
        <v>107</v>
      </c>
      <c r="E383" s="10" t="s">
        <v>33</v>
      </c>
      <c r="F383" s="11">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420</v>
      </c>
      <c r="C384" t="s">
        <v>22</v>
      </c>
      <c r="D384">
        <v>90</v>
      </c>
      <c r="E384" s="10" t="s">
        <v>27</v>
      </c>
      <c r="F384" s="11">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421</v>
      </c>
      <c r="C385" t="s">
        <v>16</v>
      </c>
      <c r="D385">
        <v>120</v>
      </c>
      <c r="E385" s="10" t="s">
        <v>46</v>
      </c>
      <c r="F385" s="11">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422</v>
      </c>
      <c r="C386" t="s">
        <v>32</v>
      </c>
      <c r="D386">
        <v>47</v>
      </c>
      <c r="E386" s="10" t="s">
        <v>33</v>
      </c>
      <c r="F386" s="11">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423</v>
      </c>
      <c r="C387" t="s">
        <v>30</v>
      </c>
      <c r="D387">
        <v>60</v>
      </c>
      <c r="E387" s="10" t="s">
        <v>46</v>
      </c>
      <c r="F387" s="11">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424</v>
      </c>
      <c r="C388" t="s">
        <v>35</v>
      </c>
      <c r="D388">
        <v>64</v>
      </c>
      <c r="E388" s="10" t="s">
        <v>27</v>
      </c>
      <c r="F388" s="11">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425</v>
      </c>
      <c r="C389" t="s">
        <v>41</v>
      </c>
      <c r="D389">
        <v>62</v>
      </c>
      <c r="E389" s="10" t="s">
        <v>33</v>
      </c>
      <c r="F389" s="11">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426</v>
      </c>
      <c r="C390" t="s">
        <v>45</v>
      </c>
      <c r="D390">
        <v>88</v>
      </c>
      <c r="E390" s="10" t="s">
        <v>33</v>
      </c>
      <c r="F390" s="11">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427</v>
      </c>
      <c r="C391" t="s">
        <v>54</v>
      </c>
      <c r="D391">
        <v>116</v>
      </c>
      <c r="E391" s="10" t="s">
        <v>33</v>
      </c>
      <c r="F391" s="11">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428</v>
      </c>
      <c r="C392" t="s">
        <v>22</v>
      </c>
      <c r="D392">
        <v>82</v>
      </c>
      <c r="E392" s="10" t="s">
        <v>17</v>
      </c>
      <c r="F392" s="11">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429</v>
      </c>
      <c r="C393" t="s">
        <v>41</v>
      </c>
      <c r="D393">
        <v>99</v>
      </c>
      <c r="E393" s="10" t="s">
        <v>27</v>
      </c>
      <c r="F393" s="11">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430</v>
      </c>
      <c r="C394" t="s">
        <v>41</v>
      </c>
      <c r="D394">
        <v>55</v>
      </c>
      <c r="E394" s="10" t="s">
        <v>17</v>
      </c>
      <c r="F394" s="11">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431</v>
      </c>
      <c r="C395" t="s">
        <v>35</v>
      </c>
      <c r="D395">
        <v>61</v>
      </c>
      <c r="E395" s="10" t="s">
        <v>46</v>
      </c>
      <c r="F395" s="11">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432</v>
      </c>
      <c r="C396" t="s">
        <v>54</v>
      </c>
      <c r="D396">
        <v>36</v>
      </c>
      <c r="E396" s="10" t="s">
        <v>40</v>
      </c>
      <c r="F396" s="11">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433</v>
      </c>
      <c r="C397" t="s">
        <v>22</v>
      </c>
      <c r="D397">
        <v>123</v>
      </c>
      <c r="E397" s="10" t="s">
        <v>33</v>
      </c>
      <c r="F397" s="11">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434</v>
      </c>
      <c r="C398" t="s">
        <v>23</v>
      </c>
      <c r="D398">
        <v>24</v>
      </c>
      <c r="E398" s="10" t="s">
        <v>46</v>
      </c>
      <c r="F398" s="11">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435</v>
      </c>
      <c r="C399" t="s">
        <v>22</v>
      </c>
      <c r="D399">
        <v>43</v>
      </c>
      <c r="E399" s="10" t="s">
        <v>33</v>
      </c>
      <c r="F399" s="11">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436</v>
      </c>
      <c r="C400" t="s">
        <v>30</v>
      </c>
      <c r="D400">
        <v>95</v>
      </c>
      <c r="E400" s="10" t="s">
        <v>27</v>
      </c>
      <c r="F400" s="11">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437</v>
      </c>
      <c r="C401" t="s">
        <v>41</v>
      </c>
      <c r="D401">
        <v>53</v>
      </c>
      <c r="E401" s="10" t="s">
        <v>33</v>
      </c>
      <c r="F401" s="11">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438</v>
      </c>
      <c r="C402" t="s">
        <v>22</v>
      </c>
      <c r="D402">
        <v>113</v>
      </c>
      <c r="E402" s="10" t="s">
        <v>33</v>
      </c>
      <c r="F402" s="11">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439</v>
      </c>
      <c r="C403" t="s">
        <v>41</v>
      </c>
      <c r="D403">
        <v>89</v>
      </c>
      <c r="E403" s="10" t="s">
        <v>40</v>
      </c>
      <c r="F403" s="11">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440</v>
      </c>
      <c r="C404" t="s">
        <v>45</v>
      </c>
      <c r="D404">
        <v>84</v>
      </c>
      <c r="E404" s="10" t="s">
        <v>17</v>
      </c>
      <c r="F404" s="11">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441</v>
      </c>
      <c r="C405" t="s">
        <v>23</v>
      </c>
      <c r="D405">
        <v>130</v>
      </c>
      <c r="E405" s="10" t="s">
        <v>33</v>
      </c>
      <c r="F405" s="11">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442</v>
      </c>
      <c r="C406" t="s">
        <v>30</v>
      </c>
      <c r="D406">
        <v>163</v>
      </c>
      <c r="E406" s="10" t="s">
        <v>40</v>
      </c>
      <c r="F406" s="11">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443</v>
      </c>
      <c r="C407" t="s">
        <v>43</v>
      </c>
      <c r="D407">
        <v>127</v>
      </c>
      <c r="E407" s="10" t="s">
        <v>33</v>
      </c>
      <c r="F407" s="11">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444</v>
      </c>
      <c r="C408" t="s">
        <v>22</v>
      </c>
      <c r="D408">
        <v>50</v>
      </c>
      <c r="E408" s="10" t="s">
        <v>33</v>
      </c>
      <c r="F408" s="11">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445</v>
      </c>
      <c r="C409" t="s">
        <v>37</v>
      </c>
      <c r="D409">
        <v>88</v>
      </c>
      <c r="E409" s="10" t="s">
        <v>46</v>
      </c>
      <c r="F409" s="11">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446</v>
      </c>
      <c r="C410" t="s">
        <v>22</v>
      </c>
      <c r="D410">
        <v>139</v>
      </c>
      <c r="E410" s="10" t="s">
        <v>27</v>
      </c>
      <c r="F410" s="11">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447</v>
      </c>
      <c r="C411" t="s">
        <v>30</v>
      </c>
      <c r="D411">
        <v>111</v>
      </c>
      <c r="E411" s="10" t="s">
        <v>33</v>
      </c>
      <c r="F411" s="11">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448</v>
      </c>
      <c r="C412" t="s">
        <v>26</v>
      </c>
      <c r="D412">
        <v>115</v>
      </c>
      <c r="E412" s="10" t="s">
        <v>27</v>
      </c>
      <c r="F412" s="11">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449</v>
      </c>
      <c r="C413" t="s">
        <v>41</v>
      </c>
      <c r="D413">
        <v>26</v>
      </c>
      <c r="E413" s="10" t="s">
        <v>40</v>
      </c>
      <c r="F413" s="11">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450</v>
      </c>
      <c r="C414" t="s">
        <v>45</v>
      </c>
      <c r="D414">
        <v>131</v>
      </c>
      <c r="E414" s="10" t="s">
        <v>46</v>
      </c>
      <c r="F414" s="11">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451</v>
      </c>
      <c r="C415" t="s">
        <v>26</v>
      </c>
      <c r="D415">
        <v>27</v>
      </c>
      <c r="E415" s="10" t="s">
        <v>46</v>
      </c>
      <c r="F415" s="11">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452</v>
      </c>
      <c r="C416" t="s">
        <v>50</v>
      </c>
      <c r="D416">
        <v>75</v>
      </c>
      <c r="E416" s="10" t="s">
        <v>33</v>
      </c>
      <c r="F416" s="11">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453</v>
      </c>
      <c r="C417" t="s">
        <v>35</v>
      </c>
      <c r="D417">
        <v>123</v>
      </c>
      <c r="E417" s="10" t="s">
        <v>46</v>
      </c>
      <c r="F417" s="11">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454</v>
      </c>
      <c r="C418" t="s">
        <v>16</v>
      </c>
      <c r="D418">
        <v>129</v>
      </c>
      <c r="E418" s="10" t="s">
        <v>46</v>
      </c>
      <c r="F418" s="11">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455</v>
      </c>
      <c r="C419" t="s">
        <v>50</v>
      </c>
      <c r="D419">
        <v>124</v>
      </c>
      <c r="E419" s="10" t="s">
        <v>27</v>
      </c>
      <c r="F419" s="11">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456</v>
      </c>
      <c r="C420" t="s">
        <v>26</v>
      </c>
      <c r="D420">
        <v>108</v>
      </c>
      <c r="E420" s="10" t="s">
        <v>27</v>
      </c>
      <c r="F420" s="11">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457</v>
      </c>
      <c r="C421" t="s">
        <v>32</v>
      </c>
      <c r="D421">
        <v>15</v>
      </c>
      <c r="E421" s="10" t="s">
        <v>27</v>
      </c>
      <c r="F421" s="11">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458</v>
      </c>
      <c r="C422" t="s">
        <v>26</v>
      </c>
      <c r="D422">
        <v>66</v>
      </c>
      <c r="E422" s="10" t="s">
        <v>27</v>
      </c>
      <c r="F422" s="11">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459</v>
      </c>
      <c r="C423" t="s">
        <v>37</v>
      </c>
      <c r="D423">
        <v>126</v>
      </c>
      <c r="E423" s="10" t="s">
        <v>33</v>
      </c>
      <c r="F423" s="11">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460</v>
      </c>
      <c r="C424" t="s">
        <v>50</v>
      </c>
      <c r="D424">
        <v>26</v>
      </c>
      <c r="E424" s="10" t="s">
        <v>17</v>
      </c>
      <c r="F424" s="11">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461</v>
      </c>
      <c r="C425" t="s">
        <v>23</v>
      </c>
      <c r="D425">
        <v>105</v>
      </c>
      <c r="E425" s="10" t="s">
        <v>33</v>
      </c>
      <c r="F425" s="11">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462</v>
      </c>
      <c r="C426" t="s">
        <v>23</v>
      </c>
      <c r="D426">
        <v>31</v>
      </c>
      <c r="E426" s="10" t="s">
        <v>33</v>
      </c>
      <c r="F426" s="11">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463</v>
      </c>
      <c r="C427" t="s">
        <v>26</v>
      </c>
      <c r="D427">
        <v>109</v>
      </c>
      <c r="E427" s="10" t="s">
        <v>27</v>
      </c>
      <c r="F427" s="11">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464</v>
      </c>
      <c r="C428" t="s">
        <v>16</v>
      </c>
      <c r="D428">
        <v>113</v>
      </c>
      <c r="E428" s="10" t="s">
        <v>40</v>
      </c>
      <c r="F428" s="11">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465</v>
      </c>
      <c r="C429" t="s">
        <v>37</v>
      </c>
      <c r="D429">
        <v>101</v>
      </c>
      <c r="E429" s="10" t="s">
        <v>17</v>
      </c>
      <c r="F429" s="11">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466</v>
      </c>
      <c r="C430" t="s">
        <v>30</v>
      </c>
      <c r="D430">
        <v>156</v>
      </c>
      <c r="E430" s="10" t="s">
        <v>17</v>
      </c>
      <c r="F430" s="11">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467</v>
      </c>
      <c r="C431" t="s">
        <v>26</v>
      </c>
      <c r="D431">
        <v>145</v>
      </c>
      <c r="E431" s="10" t="s">
        <v>40</v>
      </c>
      <c r="F431" s="11">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468</v>
      </c>
      <c r="C432" t="s">
        <v>35</v>
      </c>
      <c r="D432">
        <v>36</v>
      </c>
      <c r="E432" s="10" t="s">
        <v>27</v>
      </c>
      <c r="F432" s="11">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469</v>
      </c>
      <c r="C433" t="s">
        <v>23</v>
      </c>
      <c r="D433">
        <v>135</v>
      </c>
      <c r="E433" s="10" t="s">
        <v>46</v>
      </c>
      <c r="F433" s="11">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470</v>
      </c>
      <c r="C434" t="s">
        <v>37</v>
      </c>
      <c r="D434">
        <v>81</v>
      </c>
      <c r="E434" s="10" t="s">
        <v>27</v>
      </c>
      <c r="F434" s="11">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471</v>
      </c>
      <c r="C435" t="s">
        <v>37</v>
      </c>
      <c r="D435">
        <v>81</v>
      </c>
      <c r="E435" s="10" t="s">
        <v>40</v>
      </c>
      <c r="F435" s="11">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472</v>
      </c>
      <c r="C436" t="s">
        <v>43</v>
      </c>
      <c r="D436">
        <v>93</v>
      </c>
      <c r="E436" s="10" t="s">
        <v>33</v>
      </c>
      <c r="F436" s="11">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473</v>
      </c>
      <c r="C437" t="s">
        <v>26</v>
      </c>
      <c r="D437">
        <v>14</v>
      </c>
      <c r="E437" s="10" t="s">
        <v>27</v>
      </c>
      <c r="F437" s="11">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474</v>
      </c>
      <c r="C438" t="s">
        <v>23</v>
      </c>
      <c r="D438">
        <v>95</v>
      </c>
      <c r="E438" s="10" t="s">
        <v>40</v>
      </c>
      <c r="F438" s="11">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475</v>
      </c>
      <c r="C439" t="s">
        <v>43</v>
      </c>
      <c r="D439">
        <v>81</v>
      </c>
      <c r="E439" s="10" t="s">
        <v>40</v>
      </c>
      <c r="F439" s="11">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476</v>
      </c>
      <c r="C440" t="s">
        <v>41</v>
      </c>
      <c r="D440">
        <v>60</v>
      </c>
      <c r="E440" s="10" t="s">
        <v>27</v>
      </c>
      <c r="F440" s="11">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477</v>
      </c>
      <c r="C441" t="s">
        <v>49</v>
      </c>
      <c r="D441">
        <v>137</v>
      </c>
      <c r="E441" s="10" t="s">
        <v>33</v>
      </c>
      <c r="F441" s="11">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478</v>
      </c>
      <c r="C442" t="s">
        <v>22</v>
      </c>
      <c r="D442">
        <v>112</v>
      </c>
      <c r="E442" s="10" t="s">
        <v>46</v>
      </c>
      <c r="F442" s="11">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479</v>
      </c>
      <c r="C443" t="s">
        <v>23</v>
      </c>
      <c r="D443">
        <v>76</v>
      </c>
      <c r="E443" s="10" t="s">
        <v>17</v>
      </c>
      <c r="F443" s="11">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480</v>
      </c>
      <c r="C444" t="s">
        <v>54</v>
      </c>
      <c r="D444">
        <v>73</v>
      </c>
      <c r="E444" s="10" t="s">
        <v>27</v>
      </c>
      <c r="F444" s="11">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481</v>
      </c>
      <c r="C445" t="s">
        <v>45</v>
      </c>
      <c r="D445">
        <v>119</v>
      </c>
      <c r="E445" s="10" t="s">
        <v>33</v>
      </c>
      <c r="F445" s="11">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482</v>
      </c>
      <c r="C446" t="s">
        <v>16</v>
      </c>
      <c r="D446">
        <v>135</v>
      </c>
      <c r="E446" s="10" t="s">
        <v>40</v>
      </c>
      <c r="F446" s="11">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483</v>
      </c>
      <c r="C447" t="s">
        <v>49</v>
      </c>
      <c r="D447">
        <v>41</v>
      </c>
      <c r="E447" s="10" t="s">
        <v>46</v>
      </c>
      <c r="F447" s="11">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484</v>
      </c>
      <c r="C448" t="s">
        <v>26</v>
      </c>
      <c r="D448">
        <v>35</v>
      </c>
      <c r="E448" s="10" t="s">
        <v>40</v>
      </c>
      <c r="F448" s="11">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485</v>
      </c>
      <c r="C449" t="s">
        <v>16</v>
      </c>
      <c r="D449">
        <v>96</v>
      </c>
      <c r="E449" s="10" t="s">
        <v>27</v>
      </c>
      <c r="F449" s="11">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486</v>
      </c>
      <c r="C450" t="s">
        <v>43</v>
      </c>
      <c r="D450">
        <v>61</v>
      </c>
      <c r="E450" s="10" t="s">
        <v>46</v>
      </c>
      <c r="F450" s="11">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487</v>
      </c>
      <c r="C451" t="s">
        <v>16</v>
      </c>
      <c r="D451">
        <v>91</v>
      </c>
      <c r="E451" s="10" t="s">
        <v>46</v>
      </c>
      <c r="F451" s="11">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488</v>
      </c>
      <c r="C452" t="s">
        <v>18</v>
      </c>
      <c r="D452">
        <v>30</v>
      </c>
      <c r="E452" s="10" t="s">
        <v>46</v>
      </c>
      <c r="F452" s="11">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489</v>
      </c>
      <c r="C453" t="s">
        <v>41</v>
      </c>
      <c r="D453">
        <v>111</v>
      </c>
      <c r="E453" s="10" t="s">
        <v>33</v>
      </c>
      <c r="F453" s="11">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490</v>
      </c>
      <c r="C454" t="s">
        <v>43</v>
      </c>
      <c r="D454">
        <v>81</v>
      </c>
      <c r="E454" s="10" t="s">
        <v>27</v>
      </c>
      <c r="F454" s="11">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491</v>
      </c>
      <c r="C455" t="s">
        <v>23</v>
      </c>
      <c r="D455">
        <v>40</v>
      </c>
      <c r="E455" s="10" t="s">
        <v>40</v>
      </c>
      <c r="F455" s="11">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492</v>
      </c>
      <c r="C456" t="s">
        <v>41</v>
      </c>
      <c r="D456">
        <v>143</v>
      </c>
      <c r="E456" s="10" t="s">
        <v>40</v>
      </c>
      <c r="F456" s="11">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493</v>
      </c>
      <c r="C457" t="s">
        <v>23</v>
      </c>
      <c r="D457">
        <v>70</v>
      </c>
      <c r="E457" s="10" t="s">
        <v>40</v>
      </c>
      <c r="F457" s="11">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494</v>
      </c>
      <c r="C458" t="s">
        <v>54</v>
      </c>
      <c r="D458">
        <v>137</v>
      </c>
      <c r="E458" s="10" t="s">
        <v>40</v>
      </c>
      <c r="F458" s="11">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495</v>
      </c>
      <c r="C459" t="s">
        <v>16</v>
      </c>
      <c r="D459">
        <v>52</v>
      </c>
      <c r="E459" s="10" t="s">
        <v>27</v>
      </c>
      <c r="F459" s="11">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496</v>
      </c>
      <c r="C460" t="s">
        <v>22</v>
      </c>
      <c r="D460">
        <v>31</v>
      </c>
      <c r="E460" s="10" t="s">
        <v>33</v>
      </c>
      <c r="F460" s="11">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497</v>
      </c>
      <c r="C461" t="s">
        <v>16</v>
      </c>
      <c r="D461">
        <v>114</v>
      </c>
      <c r="E461" s="10" t="s">
        <v>46</v>
      </c>
      <c r="F461" s="11">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498</v>
      </c>
      <c r="C462" t="s">
        <v>54</v>
      </c>
      <c r="D462">
        <v>73</v>
      </c>
      <c r="E462" s="10" t="s">
        <v>17</v>
      </c>
      <c r="F462" s="11">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499</v>
      </c>
      <c r="C463" t="s">
        <v>43</v>
      </c>
      <c r="D463">
        <v>25</v>
      </c>
      <c r="E463" s="10" t="s">
        <v>33</v>
      </c>
      <c r="F463" s="11">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500</v>
      </c>
      <c r="C464" t="s">
        <v>32</v>
      </c>
      <c r="D464">
        <v>44</v>
      </c>
      <c r="E464" s="10" t="s">
        <v>46</v>
      </c>
      <c r="F464" s="11">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501</v>
      </c>
      <c r="C465" t="s">
        <v>35</v>
      </c>
      <c r="D465">
        <v>34</v>
      </c>
      <c r="E465" s="10" t="s">
        <v>27</v>
      </c>
      <c r="F465" s="11">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502</v>
      </c>
      <c r="C466" t="s">
        <v>41</v>
      </c>
      <c r="D466">
        <v>89</v>
      </c>
      <c r="E466" s="10" t="s">
        <v>40</v>
      </c>
      <c r="F466" s="11">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503</v>
      </c>
      <c r="C467" t="s">
        <v>45</v>
      </c>
      <c r="D467">
        <v>54</v>
      </c>
      <c r="E467" s="10" t="s">
        <v>33</v>
      </c>
      <c r="F467" s="11">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504</v>
      </c>
      <c r="C468" t="s">
        <v>26</v>
      </c>
      <c r="D468">
        <v>25</v>
      </c>
      <c r="E468" s="10" t="s">
        <v>33</v>
      </c>
      <c r="F468" s="11">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505</v>
      </c>
      <c r="C469" t="s">
        <v>49</v>
      </c>
      <c r="D469">
        <v>91</v>
      </c>
      <c r="E469" s="10" t="s">
        <v>40</v>
      </c>
      <c r="F469" s="11">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506</v>
      </c>
      <c r="C470" t="s">
        <v>32</v>
      </c>
      <c r="D470">
        <v>144</v>
      </c>
      <c r="E470" s="10" t="s">
        <v>46</v>
      </c>
      <c r="F470" s="11">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507</v>
      </c>
      <c r="C471" t="s">
        <v>49</v>
      </c>
      <c r="D471">
        <v>81</v>
      </c>
      <c r="E471" s="10" t="s">
        <v>27</v>
      </c>
      <c r="F471" s="11">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508</v>
      </c>
      <c r="C472" t="s">
        <v>18</v>
      </c>
      <c r="D472">
        <v>92</v>
      </c>
      <c r="E472" s="10" t="s">
        <v>33</v>
      </c>
      <c r="F472" s="11">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509</v>
      </c>
      <c r="C473" t="s">
        <v>26</v>
      </c>
      <c r="D473">
        <v>115</v>
      </c>
      <c r="E473" s="10" t="s">
        <v>40</v>
      </c>
      <c r="F473" s="11">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510</v>
      </c>
      <c r="C474" t="s">
        <v>37</v>
      </c>
      <c r="D474">
        <v>56</v>
      </c>
      <c r="E474" s="10" t="s">
        <v>40</v>
      </c>
      <c r="F474" s="11">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511</v>
      </c>
      <c r="C475" t="s">
        <v>22</v>
      </c>
      <c r="D475">
        <v>154</v>
      </c>
      <c r="E475" s="10" t="s">
        <v>33</v>
      </c>
      <c r="F475" s="11">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512</v>
      </c>
      <c r="C476" t="s">
        <v>41</v>
      </c>
      <c r="D476">
        <v>51</v>
      </c>
      <c r="E476" s="10" t="s">
        <v>40</v>
      </c>
      <c r="F476" s="11">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513</v>
      </c>
      <c r="C477" t="s">
        <v>35</v>
      </c>
      <c r="D477">
        <v>21</v>
      </c>
      <c r="E477" s="10" t="s">
        <v>27</v>
      </c>
      <c r="F477" s="11">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514</v>
      </c>
      <c r="C478" t="s">
        <v>26</v>
      </c>
      <c r="D478">
        <v>80</v>
      </c>
      <c r="E478" s="10" t="s">
        <v>40</v>
      </c>
      <c r="F478" s="11">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515</v>
      </c>
      <c r="C479" t="s">
        <v>41</v>
      </c>
      <c r="D479">
        <v>139</v>
      </c>
      <c r="E479" s="10" t="s">
        <v>33</v>
      </c>
      <c r="F479" s="11">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516</v>
      </c>
      <c r="C480" t="s">
        <v>23</v>
      </c>
      <c r="D480">
        <v>50</v>
      </c>
      <c r="E480" s="10" t="s">
        <v>27</v>
      </c>
      <c r="F480" s="11">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517</v>
      </c>
      <c r="C481" t="s">
        <v>26</v>
      </c>
      <c r="D481">
        <v>88</v>
      </c>
      <c r="E481" s="10" t="s">
        <v>40</v>
      </c>
      <c r="F481" s="11">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518</v>
      </c>
      <c r="C482" t="s">
        <v>45</v>
      </c>
      <c r="D482">
        <v>19</v>
      </c>
      <c r="E482" s="10" t="s">
        <v>46</v>
      </c>
      <c r="F482" s="11">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519</v>
      </c>
      <c r="C483" t="s">
        <v>43</v>
      </c>
      <c r="D483">
        <v>104</v>
      </c>
      <c r="E483" s="10" t="s">
        <v>46</v>
      </c>
      <c r="F483" s="11">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520</v>
      </c>
      <c r="C484" t="s">
        <v>22</v>
      </c>
      <c r="D484">
        <v>67</v>
      </c>
      <c r="E484" s="10" t="s">
        <v>33</v>
      </c>
      <c r="F484" s="11">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521</v>
      </c>
      <c r="C485" t="s">
        <v>50</v>
      </c>
      <c r="D485">
        <v>107</v>
      </c>
      <c r="E485" s="10" t="s">
        <v>46</v>
      </c>
      <c r="F485" s="11">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522</v>
      </c>
      <c r="C486" t="s">
        <v>50</v>
      </c>
      <c r="D486">
        <v>93</v>
      </c>
      <c r="E486" s="10" t="s">
        <v>46</v>
      </c>
      <c r="F486" s="11">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523</v>
      </c>
      <c r="C487" t="s">
        <v>50</v>
      </c>
      <c r="D487">
        <v>117</v>
      </c>
      <c r="E487" s="10" t="s">
        <v>33</v>
      </c>
      <c r="F487" s="11">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524</v>
      </c>
      <c r="C488" t="s">
        <v>23</v>
      </c>
      <c r="D488">
        <v>76</v>
      </c>
      <c r="E488" s="10" t="s">
        <v>40</v>
      </c>
      <c r="F488" s="11">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525</v>
      </c>
      <c r="C489" t="s">
        <v>45</v>
      </c>
      <c r="D489">
        <v>64</v>
      </c>
      <c r="E489" s="10" t="s">
        <v>46</v>
      </c>
      <c r="F489" s="11">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526</v>
      </c>
      <c r="C490" t="s">
        <v>32</v>
      </c>
      <c r="D490">
        <v>33</v>
      </c>
      <c r="E490" s="10" t="s">
        <v>46</v>
      </c>
      <c r="F490" s="11">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527</v>
      </c>
      <c r="C491" t="s">
        <v>50</v>
      </c>
      <c r="D491">
        <v>115</v>
      </c>
      <c r="E491" s="10" t="s">
        <v>33</v>
      </c>
      <c r="F491" s="11">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528</v>
      </c>
      <c r="C492" t="s">
        <v>30</v>
      </c>
      <c r="D492">
        <v>155</v>
      </c>
      <c r="E492" s="10" t="s">
        <v>40</v>
      </c>
      <c r="F492" s="11">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529</v>
      </c>
      <c r="C493" t="s">
        <v>22</v>
      </c>
      <c r="D493">
        <v>117</v>
      </c>
      <c r="E493" s="10" t="s">
        <v>40</v>
      </c>
      <c r="F493" s="11">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530</v>
      </c>
      <c r="C494" t="s">
        <v>41</v>
      </c>
      <c r="D494">
        <v>63</v>
      </c>
      <c r="E494" s="10" t="s">
        <v>40</v>
      </c>
      <c r="F494" s="11">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531</v>
      </c>
      <c r="C495" t="s">
        <v>45</v>
      </c>
      <c r="D495">
        <v>59</v>
      </c>
      <c r="E495" s="10" t="s">
        <v>17</v>
      </c>
      <c r="F495" s="11">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532</v>
      </c>
      <c r="C496" t="s">
        <v>35</v>
      </c>
      <c r="D496">
        <v>133</v>
      </c>
      <c r="E496" s="10" t="s">
        <v>46</v>
      </c>
      <c r="F496" s="11">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533</v>
      </c>
      <c r="C497" t="s">
        <v>18</v>
      </c>
      <c r="D497">
        <v>101</v>
      </c>
      <c r="E497" s="10" t="s">
        <v>27</v>
      </c>
      <c r="F497" s="11">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534</v>
      </c>
      <c r="C498" t="s">
        <v>49</v>
      </c>
      <c r="D498">
        <v>151</v>
      </c>
      <c r="E498" s="10" t="s">
        <v>40</v>
      </c>
      <c r="F498" s="11">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535</v>
      </c>
      <c r="C499" t="s">
        <v>32</v>
      </c>
      <c r="D499">
        <v>146</v>
      </c>
      <c r="E499" s="10" t="s">
        <v>46</v>
      </c>
      <c r="F499" s="11">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536</v>
      </c>
      <c r="C500" t="s">
        <v>41</v>
      </c>
      <c r="D500">
        <v>148</v>
      </c>
      <c r="E500" s="10" t="s">
        <v>46</v>
      </c>
      <c r="F500" s="11">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537</v>
      </c>
      <c r="C501" t="s">
        <v>49</v>
      </c>
      <c r="D501">
        <v>81</v>
      </c>
      <c r="E501" s="10" t="s">
        <v>46</v>
      </c>
      <c r="F501" s="11">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538</v>
      </c>
      <c r="C502" t="s">
        <v>43</v>
      </c>
      <c r="D502">
        <v>115</v>
      </c>
      <c r="E502" s="10" t="s">
        <v>46</v>
      </c>
      <c r="F502" s="11">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539</v>
      </c>
      <c r="C503" t="s">
        <v>43</v>
      </c>
      <c r="D503">
        <v>117</v>
      </c>
      <c r="E503" s="10" t="s">
        <v>40</v>
      </c>
      <c r="F503" s="11">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540</v>
      </c>
      <c r="C504" t="s">
        <v>18</v>
      </c>
      <c r="D504">
        <v>110</v>
      </c>
      <c r="E504" s="10" t="s">
        <v>33</v>
      </c>
      <c r="F504" s="11">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541</v>
      </c>
      <c r="C505" t="s">
        <v>23</v>
      </c>
      <c r="D505">
        <v>103</v>
      </c>
      <c r="E505" s="10" t="s">
        <v>17</v>
      </c>
      <c r="F505" s="11">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542</v>
      </c>
      <c r="C506" t="s">
        <v>30</v>
      </c>
      <c r="D506">
        <v>45</v>
      </c>
      <c r="E506" s="10" t="s">
        <v>17</v>
      </c>
      <c r="F506" s="11">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543</v>
      </c>
      <c r="C507" t="s">
        <v>18</v>
      </c>
      <c r="D507">
        <v>110</v>
      </c>
      <c r="E507" s="10" t="s">
        <v>27</v>
      </c>
      <c r="F507" s="11">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544</v>
      </c>
      <c r="C508" t="s">
        <v>45</v>
      </c>
      <c r="D508">
        <v>43</v>
      </c>
      <c r="E508" s="10" t="s">
        <v>33</v>
      </c>
      <c r="F508" s="11">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545</v>
      </c>
      <c r="C509" t="s">
        <v>18</v>
      </c>
      <c r="D509">
        <v>104</v>
      </c>
      <c r="E509" s="10" t="s">
        <v>40</v>
      </c>
      <c r="F509" s="11">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546</v>
      </c>
      <c r="C510" t="s">
        <v>18</v>
      </c>
      <c r="D510">
        <v>101</v>
      </c>
      <c r="E510" s="10" t="s">
        <v>40</v>
      </c>
      <c r="F510" s="11">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547</v>
      </c>
      <c r="C511" t="s">
        <v>16</v>
      </c>
      <c r="D511">
        <v>55</v>
      </c>
      <c r="E511" s="10" t="s">
        <v>33</v>
      </c>
      <c r="F511" s="11">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548</v>
      </c>
      <c r="C512" t="s">
        <v>49</v>
      </c>
      <c r="D512">
        <v>40</v>
      </c>
      <c r="E512" s="10" t="s">
        <v>17</v>
      </c>
      <c r="F512" s="11">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549</v>
      </c>
      <c r="C513" t="s">
        <v>45</v>
      </c>
      <c r="D513">
        <v>122</v>
      </c>
      <c r="E513" s="10" t="s">
        <v>46</v>
      </c>
      <c r="F513" s="11">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550</v>
      </c>
      <c r="C514" t="s">
        <v>32</v>
      </c>
      <c r="D514">
        <v>98</v>
      </c>
      <c r="E514" s="10" t="s">
        <v>40</v>
      </c>
      <c r="F514" s="11">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551</v>
      </c>
      <c r="C515" t="s">
        <v>43</v>
      </c>
      <c r="D515">
        <v>110</v>
      </c>
      <c r="E515" s="10" t="s">
        <v>17</v>
      </c>
      <c r="F515" s="11">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552</v>
      </c>
      <c r="C516" t="s">
        <v>43</v>
      </c>
      <c r="D516">
        <v>62</v>
      </c>
      <c r="E516" s="10" t="s">
        <v>33</v>
      </c>
      <c r="F516" s="11">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553</v>
      </c>
      <c r="C517" t="s">
        <v>45</v>
      </c>
      <c r="D517">
        <v>134</v>
      </c>
      <c r="E517" s="10" t="s">
        <v>46</v>
      </c>
      <c r="F517" s="11">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554</v>
      </c>
      <c r="C518" t="s">
        <v>54</v>
      </c>
      <c r="D518">
        <v>94</v>
      </c>
      <c r="E518" s="10" t="s">
        <v>27</v>
      </c>
      <c r="F518" s="11">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555</v>
      </c>
      <c r="C519" t="s">
        <v>37</v>
      </c>
      <c r="D519">
        <v>63</v>
      </c>
      <c r="E519" s="10" t="s">
        <v>17</v>
      </c>
      <c r="F519" s="11">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556</v>
      </c>
      <c r="C520" t="s">
        <v>35</v>
      </c>
      <c r="D520">
        <v>95</v>
      </c>
      <c r="E520" s="10" t="s">
        <v>46</v>
      </c>
      <c r="F520" s="11">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557</v>
      </c>
      <c r="C521" t="s">
        <v>45</v>
      </c>
      <c r="D521">
        <v>106</v>
      </c>
      <c r="E521" s="10" t="s">
        <v>46</v>
      </c>
      <c r="F521" s="11">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558</v>
      </c>
      <c r="C522" t="s">
        <v>30</v>
      </c>
      <c r="D522">
        <v>94</v>
      </c>
      <c r="E522" s="10" t="s">
        <v>27</v>
      </c>
      <c r="F522" s="11">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559</v>
      </c>
      <c r="C523" t="s">
        <v>30</v>
      </c>
      <c r="D523">
        <v>51</v>
      </c>
      <c r="E523" s="10" t="s">
        <v>27</v>
      </c>
      <c r="F523" s="11">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560</v>
      </c>
      <c r="C524" t="s">
        <v>41</v>
      </c>
      <c r="D524">
        <v>39</v>
      </c>
      <c r="E524" s="10" t="s">
        <v>27</v>
      </c>
      <c r="F524" s="11">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561</v>
      </c>
      <c r="C525" t="s">
        <v>49</v>
      </c>
      <c r="D525">
        <v>111</v>
      </c>
      <c r="E525" s="10" t="s">
        <v>46</v>
      </c>
      <c r="F525" s="11">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562</v>
      </c>
      <c r="C526" t="s">
        <v>50</v>
      </c>
      <c r="D526">
        <v>141</v>
      </c>
      <c r="E526" s="10" t="s">
        <v>33</v>
      </c>
      <c r="F526" s="11">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563</v>
      </c>
      <c r="C527" t="s">
        <v>37</v>
      </c>
      <c r="D527">
        <v>147</v>
      </c>
      <c r="E527" s="10" t="s">
        <v>46</v>
      </c>
      <c r="F527" s="11">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564</v>
      </c>
      <c r="C528" t="s">
        <v>54</v>
      </c>
      <c r="D528">
        <v>49</v>
      </c>
      <c r="E528" s="10" t="s">
        <v>27</v>
      </c>
      <c r="F528" s="11">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565</v>
      </c>
      <c r="C529" t="s">
        <v>26</v>
      </c>
      <c r="D529">
        <v>75</v>
      </c>
      <c r="E529" s="10" t="s">
        <v>46</v>
      </c>
      <c r="F529" s="11">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566</v>
      </c>
      <c r="C530" t="s">
        <v>50</v>
      </c>
      <c r="D530">
        <v>48</v>
      </c>
      <c r="E530" s="10" t="s">
        <v>33</v>
      </c>
      <c r="F530" s="11">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567</v>
      </c>
      <c r="C531" t="s">
        <v>43</v>
      </c>
      <c r="D531">
        <v>48</v>
      </c>
      <c r="E531" s="10" t="s">
        <v>33</v>
      </c>
      <c r="F531" s="11">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568</v>
      </c>
      <c r="C532" t="s">
        <v>22</v>
      </c>
      <c r="D532">
        <v>138</v>
      </c>
      <c r="E532" s="10" t="s">
        <v>27</v>
      </c>
      <c r="F532" s="11">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569</v>
      </c>
      <c r="C533" t="s">
        <v>35</v>
      </c>
      <c r="D533">
        <v>144</v>
      </c>
      <c r="E533" s="10" t="s">
        <v>27</v>
      </c>
      <c r="F533" s="11">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570</v>
      </c>
      <c r="C534" t="s">
        <v>18</v>
      </c>
      <c r="D534">
        <v>119</v>
      </c>
      <c r="E534" s="10" t="s">
        <v>46</v>
      </c>
      <c r="F534" s="11">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571</v>
      </c>
      <c r="C535" t="s">
        <v>22</v>
      </c>
      <c r="D535">
        <v>101</v>
      </c>
      <c r="E535" s="10" t="s">
        <v>33</v>
      </c>
      <c r="F535" s="11">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572</v>
      </c>
      <c r="C536" t="s">
        <v>35</v>
      </c>
      <c r="D536">
        <v>59</v>
      </c>
      <c r="E536" s="10" t="s">
        <v>46</v>
      </c>
      <c r="F536" s="11">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573</v>
      </c>
      <c r="C537" t="s">
        <v>49</v>
      </c>
      <c r="D537">
        <v>125</v>
      </c>
      <c r="E537" s="10" t="s">
        <v>17</v>
      </c>
      <c r="F537" s="11">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574</v>
      </c>
      <c r="C538" t="s">
        <v>45</v>
      </c>
      <c r="D538">
        <v>147</v>
      </c>
      <c r="E538" s="10" t="s">
        <v>46</v>
      </c>
      <c r="F538" s="11">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575</v>
      </c>
      <c r="C539" t="s">
        <v>23</v>
      </c>
      <c r="D539">
        <v>76</v>
      </c>
      <c r="E539" s="10" t="s">
        <v>46</v>
      </c>
      <c r="F539" s="11">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576</v>
      </c>
      <c r="C540" t="s">
        <v>37</v>
      </c>
      <c r="D540">
        <v>99</v>
      </c>
      <c r="E540" s="10" t="s">
        <v>33</v>
      </c>
      <c r="F540" s="11">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577</v>
      </c>
      <c r="C541" t="s">
        <v>41</v>
      </c>
      <c r="D541">
        <v>111</v>
      </c>
      <c r="E541" s="10" t="s">
        <v>40</v>
      </c>
      <c r="F541" s="11">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578</v>
      </c>
      <c r="C542" t="s">
        <v>32</v>
      </c>
      <c r="D542">
        <v>147</v>
      </c>
      <c r="E542" s="10" t="s">
        <v>17</v>
      </c>
      <c r="F542" s="11">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579</v>
      </c>
      <c r="C543" t="s">
        <v>16</v>
      </c>
      <c r="D543">
        <v>141</v>
      </c>
      <c r="E543" s="10" t="s">
        <v>33</v>
      </c>
      <c r="F543" s="11">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580</v>
      </c>
      <c r="C544" t="s">
        <v>23</v>
      </c>
      <c r="D544">
        <v>71</v>
      </c>
      <c r="E544" s="10" t="s">
        <v>46</v>
      </c>
      <c r="F544" s="11">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581</v>
      </c>
      <c r="C545" t="s">
        <v>23</v>
      </c>
      <c r="D545">
        <v>121</v>
      </c>
      <c r="E545" s="10" t="s">
        <v>17</v>
      </c>
      <c r="F545" s="11">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582</v>
      </c>
      <c r="C546" t="s">
        <v>23</v>
      </c>
      <c r="D546">
        <v>60</v>
      </c>
      <c r="E546" s="10" t="s">
        <v>17</v>
      </c>
      <c r="F546" s="11">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583</v>
      </c>
      <c r="C547" t="s">
        <v>54</v>
      </c>
      <c r="D547">
        <v>158</v>
      </c>
      <c r="E547" s="10" t="s">
        <v>33</v>
      </c>
      <c r="F547" s="11">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584</v>
      </c>
      <c r="C548" t="s">
        <v>45</v>
      </c>
      <c r="D548">
        <v>159</v>
      </c>
      <c r="E548" s="10" t="s">
        <v>27</v>
      </c>
      <c r="F548" s="11">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585</v>
      </c>
      <c r="C549" t="s">
        <v>22</v>
      </c>
      <c r="D549">
        <v>70</v>
      </c>
      <c r="E549" s="10" t="s">
        <v>46</v>
      </c>
      <c r="F549" s="11">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586</v>
      </c>
      <c r="C550" t="s">
        <v>50</v>
      </c>
      <c r="D550">
        <v>78</v>
      </c>
      <c r="E550" s="10" t="s">
        <v>40</v>
      </c>
      <c r="F550" s="11">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587</v>
      </c>
      <c r="C551" t="s">
        <v>32</v>
      </c>
      <c r="D551">
        <v>103</v>
      </c>
      <c r="E551" s="10" t="s">
        <v>46</v>
      </c>
      <c r="F551" s="11">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588</v>
      </c>
      <c r="C552" t="s">
        <v>26</v>
      </c>
      <c r="D552">
        <v>108</v>
      </c>
      <c r="E552" s="10" t="s">
        <v>33</v>
      </c>
      <c r="F552" s="11">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589</v>
      </c>
      <c r="C553" t="s">
        <v>26</v>
      </c>
      <c r="D553">
        <v>44</v>
      </c>
      <c r="E553" s="10" t="s">
        <v>17</v>
      </c>
      <c r="F553" s="11">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590</v>
      </c>
      <c r="C554" t="s">
        <v>50</v>
      </c>
      <c r="D554">
        <v>127</v>
      </c>
      <c r="E554" s="10" t="s">
        <v>33</v>
      </c>
      <c r="F554" s="11">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591</v>
      </c>
      <c r="C555" t="s">
        <v>32</v>
      </c>
      <c r="D555">
        <v>132</v>
      </c>
      <c r="E555" s="10" t="s">
        <v>46</v>
      </c>
      <c r="F555" s="11">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592</v>
      </c>
      <c r="C556" t="s">
        <v>16</v>
      </c>
      <c r="D556">
        <v>106</v>
      </c>
      <c r="E556" s="10" t="s">
        <v>40</v>
      </c>
      <c r="F556" s="11">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593</v>
      </c>
      <c r="C557" t="s">
        <v>41</v>
      </c>
      <c r="D557">
        <v>107</v>
      </c>
      <c r="E557" s="10" t="s">
        <v>46</v>
      </c>
      <c r="F557" s="11">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594</v>
      </c>
      <c r="C558" t="s">
        <v>45</v>
      </c>
      <c r="D558">
        <v>85</v>
      </c>
      <c r="E558" s="10" t="s">
        <v>40</v>
      </c>
      <c r="F558" s="11">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595</v>
      </c>
      <c r="C559" t="s">
        <v>37</v>
      </c>
      <c r="D559">
        <v>49</v>
      </c>
      <c r="E559" s="10" t="s">
        <v>46</v>
      </c>
      <c r="F559" s="11">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596</v>
      </c>
      <c r="C560" t="s">
        <v>23</v>
      </c>
      <c r="D560">
        <v>117</v>
      </c>
      <c r="E560" s="10" t="s">
        <v>33</v>
      </c>
      <c r="F560" s="11">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597</v>
      </c>
      <c r="C561" t="s">
        <v>41</v>
      </c>
      <c r="D561">
        <v>136</v>
      </c>
      <c r="E561" s="10" t="s">
        <v>40</v>
      </c>
      <c r="F561" s="11">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598</v>
      </c>
      <c r="C562" t="s">
        <v>26</v>
      </c>
      <c r="D562">
        <v>130</v>
      </c>
      <c r="E562" s="10" t="s">
        <v>27</v>
      </c>
      <c r="F562" s="11">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599</v>
      </c>
      <c r="C563" t="s">
        <v>26</v>
      </c>
      <c r="D563">
        <v>73</v>
      </c>
      <c r="E563" s="10" t="s">
        <v>27</v>
      </c>
      <c r="F563" s="11">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600</v>
      </c>
      <c r="C564" t="s">
        <v>37</v>
      </c>
      <c r="D564">
        <v>80</v>
      </c>
      <c r="E564" s="10" t="s">
        <v>46</v>
      </c>
      <c r="F564" s="11">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601</v>
      </c>
      <c r="C565" t="s">
        <v>18</v>
      </c>
      <c r="D565">
        <v>44</v>
      </c>
      <c r="E565" s="10" t="s">
        <v>33</v>
      </c>
      <c r="F565" s="11">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602</v>
      </c>
      <c r="C566" t="s">
        <v>18</v>
      </c>
      <c r="D566">
        <v>102</v>
      </c>
      <c r="E566" s="10" t="s">
        <v>17</v>
      </c>
      <c r="F566" s="11">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603</v>
      </c>
      <c r="C567" t="s">
        <v>54</v>
      </c>
      <c r="D567">
        <v>74</v>
      </c>
      <c r="E567" s="10" t="s">
        <v>17</v>
      </c>
      <c r="F567" s="11">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604</v>
      </c>
      <c r="C568" t="s">
        <v>37</v>
      </c>
      <c r="D568">
        <v>52</v>
      </c>
      <c r="E568" s="10" t="s">
        <v>33</v>
      </c>
      <c r="F568" s="11">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605</v>
      </c>
      <c r="C569" t="s">
        <v>37</v>
      </c>
      <c r="D569">
        <v>74</v>
      </c>
      <c r="E569" s="10" t="s">
        <v>27</v>
      </c>
      <c r="F569" s="11">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606</v>
      </c>
      <c r="C570" t="s">
        <v>26</v>
      </c>
      <c r="D570">
        <v>96</v>
      </c>
      <c r="E570" s="10" t="s">
        <v>17</v>
      </c>
      <c r="F570" s="11">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607</v>
      </c>
      <c r="C571" t="s">
        <v>49</v>
      </c>
      <c r="D571">
        <v>104</v>
      </c>
      <c r="E571" s="10" t="s">
        <v>46</v>
      </c>
      <c r="F571" s="11">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608</v>
      </c>
      <c r="C572" t="s">
        <v>26</v>
      </c>
      <c r="D572">
        <v>123</v>
      </c>
      <c r="E572" s="10" t="s">
        <v>17</v>
      </c>
      <c r="F572" s="11">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609</v>
      </c>
      <c r="C573" t="s">
        <v>43</v>
      </c>
      <c r="D573">
        <v>100</v>
      </c>
      <c r="E573" s="10" t="s">
        <v>40</v>
      </c>
      <c r="F573" s="11">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610</v>
      </c>
      <c r="C574" t="s">
        <v>49</v>
      </c>
      <c r="D574">
        <v>35</v>
      </c>
      <c r="E574" s="10" t="s">
        <v>33</v>
      </c>
      <c r="F574" s="11">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611</v>
      </c>
      <c r="C575" t="s">
        <v>37</v>
      </c>
      <c r="D575">
        <v>123</v>
      </c>
      <c r="E575" s="10" t="s">
        <v>46</v>
      </c>
      <c r="F575" s="11">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612</v>
      </c>
      <c r="C576" t="s">
        <v>23</v>
      </c>
      <c r="D576">
        <v>133</v>
      </c>
      <c r="E576" s="10" t="s">
        <v>33</v>
      </c>
      <c r="F576" s="11">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613</v>
      </c>
      <c r="C577" t="s">
        <v>26</v>
      </c>
      <c r="D577">
        <v>126</v>
      </c>
      <c r="E577" s="10" t="s">
        <v>27</v>
      </c>
      <c r="F577" s="11">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614</v>
      </c>
      <c r="C578" t="s">
        <v>37</v>
      </c>
      <c r="D578">
        <v>39</v>
      </c>
      <c r="E578" s="10" t="s">
        <v>17</v>
      </c>
      <c r="F578" s="11">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615</v>
      </c>
      <c r="C579" t="s">
        <v>54</v>
      </c>
      <c r="D579">
        <v>31</v>
      </c>
      <c r="E579" s="10" t="s">
        <v>46</v>
      </c>
      <c r="F579" s="11">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616</v>
      </c>
      <c r="C580" t="s">
        <v>32</v>
      </c>
      <c r="D580">
        <v>25</v>
      </c>
      <c r="E580" s="10" t="s">
        <v>33</v>
      </c>
      <c r="F580" s="11">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617</v>
      </c>
      <c r="C581" t="s">
        <v>22</v>
      </c>
      <c r="D581">
        <v>132</v>
      </c>
      <c r="E581" s="10" t="s">
        <v>40</v>
      </c>
      <c r="F581" s="11">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618</v>
      </c>
      <c r="C582" t="s">
        <v>49</v>
      </c>
      <c r="D582">
        <v>63</v>
      </c>
      <c r="E582" s="10" t="s">
        <v>27</v>
      </c>
      <c r="F582" s="11">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619</v>
      </c>
      <c r="C583" t="s">
        <v>43</v>
      </c>
      <c r="D583">
        <v>135</v>
      </c>
      <c r="E583" s="10" t="s">
        <v>40</v>
      </c>
      <c r="F583" s="11">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620</v>
      </c>
      <c r="C584" t="s">
        <v>45</v>
      </c>
      <c r="D584">
        <v>101</v>
      </c>
      <c r="E584" s="10" t="s">
        <v>27</v>
      </c>
      <c r="F584" s="11">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621</v>
      </c>
      <c r="C585" t="s">
        <v>23</v>
      </c>
      <c r="D585">
        <v>80</v>
      </c>
      <c r="E585" s="10" t="s">
        <v>17</v>
      </c>
      <c r="F585" s="11">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622</v>
      </c>
      <c r="C586" t="s">
        <v>18</v>
      </c>
      <c r="D586">
        <v>28</v>
      </c>
      <c r="E586" s="10" t="s">
        <v>17</v>
      </c>
      <c r="F586" s="11">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623</v>
      </c>
      <c r="C587" t="s">
        <v>45</v>
      </c>
      <c r="D587">
        <v>102</v>
      </c>
      <c r="E587" s="10" t="s">
        <v>40</v>
      </c>
      <c r="F587" s="11">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624</v>
      </c>
      <c r="C588" t="s">
        <v>49</v>
      </c>
      <c r="D588">
        <v>60</v>
      </c>
      <c r="E588" s="10" t="s">
        <v>40</v>
      </c>
      <c r="F588" s="11">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625</v>
      </c>
      <c r="C589" t="s">
        <v>30</v>
      </c>
      <c r="D589">
        <v>103</v>
      </c>
      <c r="E589" s="10" t="s">
        <v>40</v>
      </c>
      <c r="F589" s="11">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626</v>
      </c>
      <c r="C590" t="s">
        <v>23</v>
      </c>
      <c r="D590">
        <v>90</v>
      </c>
      <c r="E590" s="10" t="s">
        <v>17</v>
      </c>
      <c r="F590" s="11">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627</v>
      </c>
      <c r="C591" t="s">
        <v>50</v>
      </c>
      <c r="D591">
        <v>88</v>
      </c>
      <c r="E591" s="10" t="s">
        <v>40</v>
      </c>
      <c r="F591" s="11">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628</v>
      </c>
      <c r="C592" t="s">
        <v>30</v>
      </c>
      <c r="D592">
        <v>37</v>
      </c>
      <c r="E592" s="10" t="s">
        <v>40</v>
      </c>
      <c r="F592" s="11">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629</v>
      </c>
      <c r="C593" t="s">
        <v>18</v>
      </c>
      <c r="D593">
        <v>142</v>
      </c>
      <c r="E593" s="10" t="s">
        <v>17</v>
      </c>
      <c r="F593" s="11">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630</v>
      </c>
      <c r="C594" t="s">
        <v>18</v>
      </c>
      <c r="D594">
        <v>153</v>
      </c>
      <c r="E594" s="10" t="s">
        <v>33</v>
      </c>
      <c r="F594" s="11">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631</v>
      </c>
      <c r="C595" t="s">
        <v>35</v>
      </c>
      <c r="D595">
        <v>128</v>
      </c>
      <c r="E595" s="10" t="s">
        <v>27</v>
      </c>
      <c r="F595" s="11">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632</v>
      </c>
      <c r="C596" t="s">
        <v>49</v>
      </c>
      <c r="D596">
        <v>110</v>
      </c>
      <c r="E596" s="10" t="s">
        <v>27</v>
      </c>
      <c r="F596" s="11">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633</v>
      </c>
      <c r="C597" t="s">
        <v>35</v>
      </c>
      <c r="D597">
        <v>139</v>
      </c>
      <c r="E597" s="10" t="s">
        <v>40</v>
      </c>
      <c r="F597" s="11">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634</v>
      </c>
      <c r="C598" t="s">
        <v>45</v>
      </c>
      <c r="D598">
        <v>109</v>
      </c>
      <c r="E598" s="10" t="s">
        <v>46</v>
      </c>
      <c r="F598" s="11">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635</v>
      </c>
      <c r="C599" t="s">
        <v>22</v>
      </c>
      <c r="D599">
        <v>57</v>
      </c>
      <c r="E599" s="10" t="s">
        <v>17</v>
      </c>
      <c r="F599" s="11">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636</v>
      </c>
      <c r="C600" t="s">
        <v>45</v>
      </c>
      <c r="D600">
        <v>68</v>
      </c>
      <c r="E600" s="10" t="s">
        <v>40</v>
      </c>
      <c r="F600" s="11">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637</v>
      </c>
      <c r="C601" t="s">
        <v>32</v>
      </c>
      <c r="D601">
        <v>128</v>
      </c>
      <c r="E601" s="10" t="s">
        <v>40</v>
      </c>
      <c r="F601" s="11">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638</v>
      </c>
      <c r="C602" t="s">
        <v>16</v>
      </c>
      <c r="D602">
        <v>102</v>
      </c>
      <c r="E602" s="10" t="s">
        <v>17</v>
      </c>
      <c r="F602" s="11">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639</v>
      </c>
      <c r="C603" t="s">
        <v>35</v>
      </c>
      <c r="D603">
        <v>52</v>
      </c>
      <c r="E603" s="10" t="s">
        <v>33</v>
      </c>
      <c r="F603" s="11">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640</v>
      </c>
      <c r="C604" t="s">
        <v>32</v>
      </c>
      <c r="D604">
        <v>55</v>
      </c>
      <c r="E604" s="10" t="s">
        <v>27</v>
      </c>
      <c r="F604" s="11">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641</v>
      </c>
      <c r="C605" t="s">
        <v>30</v>
      </c>
      <c r="D605">
        <v>107</v>
      </c>
      <c r="E605" s="10" t="s">
        <v>40</v>
      </c>
      <c r="F605" s="11">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642</v>
      </c>
      <c r="C606" t="s">
        <v>23</v>
      </c>
      <c r="D606">
        <v>88</v>
      </c>
      <c r="E606" s="10" t="s">
        <v>33</v>
      </c>
      <c r="F606" s="11">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643</v>
      </c>
      <c r="C607" t="s">
        <v>37</v>
      </c>
      <c r="D607">
        <v>49</v>
      </c>
      <c r="E607" s="10" t="s">
        <v>33</v>
      </c>
      <c r="F607" s="11">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644</v>
      </c>
      <c r="C608" t="s">
        <v>23</v>
      </c>
      <c r="D608">
        <v>72</v>
      </c>
      <c r="E608" s="10" t="s">
        <v>17</v>
      </c>
      <c r="F608" s="11">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645</v>
      </c>
      <c r="C609" t="s">
        <v>22</v>
      </c>
      <c r="D609">
        <v>50</v>
      </c>
      <c r="E609" s="10" t="s">
        <v>17</v>
      </c>
      <c r="F609" s="11">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646</v>
      </c>
      <c r="C610" t="s">
        <v>23</v>
      </c>
      <c r="D610">
        <v>52</v>
      </c>
      <c r="E610" s="10" t="s">
        <v>40</v>
      </c>
      <c r="F610" s="11">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647</v>
      </c>
      <c r="C611" t="s">
        <v>26</v>
      </c>
      <c r="D611">
        <v>85</v>
      </c>
      <c r="E611" s="10" t="s">
        <v>46</v>
      </c>
      <c r="F611" s="11">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648</v>
      </c>
      <c r="C612" t="s">
        <v>43</v>
      </c>
      <c r="D612">
        <v>98</v>
      </c>
      <c r="E612" s="10" t="s">
        <v>46</v>
      </c>
      <c r="F612" s="11">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649</v>
      </c>
      <c r="C613" t="s">
        <v>54</v>
      </c>
      <c r="D613">
        <v>52</v>
      </c>
      <c r="E613" s="10" t="s">
        <v>46</v>
      </c>
      <c r="F613" s="11">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650</v>
      </c>
      <c r="C614" t="s">
        <v>32</v>
      </c>
      <c r="D614">
        <v>154</v>
      </c>
      <c r="E614" s="10" t="s">
        <v>33</v>
      </c>
      <c r="F614" s="11">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651</v>
      </c>
      <c r="C615" t="s">
        <v>41</v>
      </c>
      <c r="D615">
        <v>131</v>
      </c>
      <c r="E615" s="10" t="s">
        <v>27</v>
      </c>
      <c r="F615" s="11">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652</v>
      </c>
      <c r="C616" t="s">
        <v>26</v>
      </c>
      <c r="D616">
        <v>73</v>
      </c>
      <c r="E616" s="10" t="s">
        <v>27</v>
      </c>
      <c r="F616" s="11">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653</v>
      </c>
      <c r="C617" t="s">
        <v>49</v>
      </c>
      <c r="D617">
        <v>45</v>
      </c>
      <c r="E617" s="10" t="s">
        <v>46</v>
      </c>
      <c r="F617" s="11">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654</v>
      </c>
      <c r="C618" t="s">
        <v>35</v>
      </c>
      <c r="D618">
        <v>114</v>
      </c>
      <c r="E618" s="10" t="s">
        <v>40</v>
      </c>
      <c r="F618" s="11">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655</v>
      </c>
      <c r="C619" t="s">
        <v>43</v>
      </c>
      <c r="D619">
        <v>69</v>
      </c>
      <c r="E619" s="10" t="s">
        <v>27</v>
      </c>
      <c r="F619" s="11">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656</v>
      </c>
      <c r="C620" t="s">
        <v>41</v>
      </c>
      <c r="D620">
        <v>33</v>
      </c>
      <c r="E620" s="10" t="s">
        <v>33</v>
      </c>
      <c r="F620" s="11">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657</v>
      </c>
      <c r="C621" t="s">
        <v>22</v>
      </c>
      <c r="D621">
        <v>31</v>
      </c>
      <c r="E621" s="10" t="s">
        <v>17</v>
      </c>
      <c r="F621" s="11">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658</v>
      </c>
      <c r="C622" t="s">
        <v>49</v>
      </c>
      <c r="D622">
        <v>168</v>
      </c>
      <c r="E622" s="10" t="s">
        <v>33</v>
      </c>
      <c r="F622" s="11">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659</v>
      </c>
      <c r="C623" t="s">
        <v>26</v>
      </c>
      <c r="D623">
        <v>111</v>
      </c>
      <c r="E623" s="10" t="s">
        <v>40</v>
      </c>
      <c r="F623" s="11">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660</v>
      </c>
      <c r="C624" t="s">
        <v>22</v>
      </c>
      <c r="D624">
        <v>80</v>
      </c>
      <c r="E624" s="10" t="s">
        <v>33</v>
      </c>
      <c r="F624" s="11">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661</v>
      </c>
      <c r="C625" t="s">
        <v>16</v>
      </c>
      <c r="D625">
        <v>37</v>
      </c>
      <c r="E625" s="10" t="s">
        <v>33</v>
      </c>
      <c r="F625" s="11">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662</v>
      </c>
      <c r="C626" t="s">
        <v>18</v>
      </c>
      <c r="D626">
        <v>137</v>
      </c>
      <c r="E626" s="10" t="s">
        <v>33</v>
      </c>
      <c r="F626" s="11">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663</v>
      </c>
      <c r="C627" t="s">
        <v>43</v>
      </c>
      <c r="D627">
        <v>123</v>
      </c>
      <c r="E627" s="10" t="s">
        <v>40</v>
      </c>
      <c r="F627" s="11">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664</v>
      </c>
      <c r="C628" t="s">
        <v>50</v>
      </c>
      <c r="D628">
        <v>105</v>
      </c>
      <c r="E628" s="10" t="s">
        <v>40</v>
      </c>
      <c r="F628" s="11">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665</v>
      </c>
      <c r="C629" t="s">
        <v>16</v>
      </c>
      <c r="D629">
        <v>76</v>
      </c>
      <c r="E629" s="10" t="s">
        <v>46</v>
      </c>
      <c r="F629" s="11">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666</v>
      </c>
      <c r="C630" t="s">
        <v>22</v>
      </c>
      <c r="D630">
        <v>144</v>
      </c>
      <c r="E630" s="10" t="s">
        <v>46</v>
      </c>
      <c r="F630" s="11">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667</v>
      </c>
      <c r="C631" t="s">
        <v>41</v>
      </c>
      <c r="D631">
        <v>109</v>
      </c>
      <c r="E631" s="10" t="s">
        <v>17</v>
      </c>
      <c r="F631" s="11">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668</v>
      </c>
      <c r="C632" t="s">
        <v>43</v>
      </c>
      <c r="D632">
        <v>172</v>
      </c>
      <c r="E632" s="10" t="s">
        <v>33</v>
      </c>
      <c r="F632" s="11">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669</v>
      </c>
      <c r="C633" t="s">
        <v>22</v>
      </c>
      <c r="D633">
        <v>56</v>
      </c>
      <c r="E633" s="10" t="s">
        <v>40</v>
      </c>
      <c r="F633" s="11">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670</v>
      </c>
      <c r="C634" t="s">
        <v>22</v>
      </c>
      <c r="D634">
        <v>121</v>
      </c>
      <c r="E634" s="10" t="s">
        <v>27</v>
      </c>
      <c r="F634" s="11">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671</v>
      </c>
      <c r="C635" t="s">
        <v>43</v>
      </c>
      <c r="D635">
        <v>41</v>
      </c>
      <c r="E635" s="10" t="s">
        <v>40</v>
      </c>
      <c r="F635" s="11">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672</v>
      </c>
      <c r="C636" t="s">
        <v>30</v>
      </c>
      <c r="D636">
        <v>60</v>
      </c>
      <c r="E636" s="10" t="s">
        <v>33</v>
      </c>
      <c r="F636" s="11">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673</v>
      </c>
      <c r="C637" t="s">
        <v>30</v>
      </c>
      <c r="D637">
        <v>144</v>
      </c>
      <c r="E637" s="10" t="s">
        <v>33</v>
      </c>
      <c r="F637" s="11">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674</v>
      </c>
      <c r="C638" t="s">
        <v>32</v>
      </c>
      <c r="D638">
        <v>67</v>
      </c>
      <c r="E638" s="10" t="s">
        <v>33</v>
      </c>
      <c r="F638" s="11">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675</v>
      </c>
      <c r="C639" t="s">
        <v>43</v>
      </c>
      <c r="D639">
        <v>162</v>
      </c>
      <c r="E639" s="10" t="s">
        <v>17</v>
      </c>
      <c r="F639" s="11">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676</v>
      </c>
      <c r="C640" t="s">
        <v>30</v>
      </c>
      <c r="D640">
        <v>87</v>
      </c>
      <c r="E640" s="10" t="s">
        <v>27</v>
      </c>
      <c r="F640" s="11">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677</v>
      </c>
      <c r="C641" t="s">
        <v>54</v>
      </c>
      <c r="D641">
        <v>10</v>
      </c>
      <c r="E641" s="10" t="s">
        <v>46</v>
      </c>
      <c r="F641" s="11">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678</v>
      </c>
      <c r="C642" t="s">
        <v>22</v>
      </c>
      <c r="D642">
        <v>138</v>
      </c>
      <c r="E642" s="10" t="s">
        <v>46</v>
      </c>
      <c r="F642" s="11">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679</v>
      </c>
      <c r="C643" t="s">
        <v>43</v>
      </c>
      <c r="D643">
        <v>31</v>
      </c>
      <c r="E643" s="10" t="s">
        <v>46</v>
      </c>
      <c r="F643" s="11">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680</v>
      </c>
      <c r="C644" t="s">
        <v>50</v>
      </c>
      <c r="D644">
        <v>75</v>
      </c>
      <c r="E644" s="10" t="s">
        <v>17</v>
      </c>
      <c r="F644" s="11">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681</v>
      </c>
      <c r="C645" t="s">
        <v>16</v>
      </c>
      <c r="D645">
        <v>65</v>
      </c>
      <c r="E645" s="10" t="s">
        <v>17</v>
      </c>
      <c r="F645" s="11">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682</v>
      </c>
      <c r="C646" t="s">
        <v>26</v>
      </c>
      <c r="D646">
        <v>106</v>
      </c>
      <c r="E646" s="10" t="s">
        <v>40</v>
      </c>
      <c r="F646" s="11">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683</v>
      </c>
      <c r="C647" t="s">
        <v>16</v>
      </c>
      <c r="D647">
        <v>107</v>
      </c>
      <c r="E647" s="10" t="s">
        <v>40</v>
      </c>
      <c r="F647" s="11">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684</v>
      </c>
      <c r="C648" t="s">
        <v>18</v>
      </c>
      <c r="D648">
        <v>78</v>
      </c>
      <c r="E648" s="10" t="s">
        <v>40</v>
      </c>
      <c r="F648" s="11">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685</v>
      </c>
      <c r="C649" t="s">
        <v>23</v>
      </c>
      <c r="D649">
        <v>122</v>
      </c>
      <c r="E649" s="10" t="s">
        <v>40</v>
      </c>
      <c r="F649" s="11">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686</v>
      </c>
      <c r="C650" t="s">
        <v>22</v>
      </c>
      <c r="D650">
        <v>58</v>
      </c>
      <c r="E650" s="10" t="s">
        <v>46</v>
      </c>
      <c r="F650" s="11">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687</v>
      </c>
      <c r="C651" t="s">
        <v>18</v>
      </c>
      <c r="D651">
        <v>33</v>
      </c>
      <c r="E651" s="10" t="s">
        <v>33</v>
      </c>
      <c r="F651" s="11">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688</v>
      </c>
      <c r="C652" t="s">
        <v>41</v>
      </c>
      <c r="D652">
        <v>164</v>
      </c>
      <c r="E652" s="10" t="s">
        <v>17</v>
      </c>
      <c r="F652" s="11">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689</v>
      </c>
      <c r="C653" t="s">
        <v>50</v>
      </c>
      <c r="D653">
        <v>163</v>
      </c>
      <c r="E653" s="10" t="s">
        <v>27</v>
      </c>
      <c r="F653" s="11">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690</v>
      </c>
      <c r="C654" t="s">
        <v>37</v>
      </c>
      <c r="D654">
        <v>71</v>
      </c>
      <c r="E654" s="10" t="s">
        <v>17</v>
      </c>
      <c r="F654" s="11">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691</v>
      </c>
      <c r="C655" t="s">
        <v>18</v>
      </c>
      <c r="D655">
        <v>103</v>
      </c>
      <c r="E655" s="10" t="s">
        <v>46</v>
      </c>
      <c r="F655" s="11">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692</v>
      </c>
      <c r="C656" t="s">
        <v>35</v>
      </c>
      <c r="D656">
        <v>69</v>
      </c>
      <c r="E656" s="10" t="s">
        <v>27</v>
      </c>
      <c r="F656" s="11">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693</v>
      </c>
      <c r="C657" t="s">
        <v>50</v>
      </c>
      <c r="D657">
        <v>111</v>
      </c>
      <c r="E657" s="10" t="s">
        <v>46</v>
      </c>
      <c r="F657" s="11">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694</v>
      </c>
      <c r="C658" t="s">
        <v>45</v>
      </c>
      <c r="D658">
        <v>97</v>
      </c>
      <c r="E658" s="10" t="s">
        <v>27</v>
      </c>
      <c r="F658" s="11">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695</v>
      </c>
      <c r="C659" t="s">
        <v>49</v>
      </c>
      <c r="D659">
        <v>144</v>
      </c>
      <c r="E659" s="10" t="s">
        <v>40</v>
      </c>
      <c r="F659" s="11">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696</v>
      </c>
      <c r="C660" t="s">
        <v>26</v>
      </c>
      <c r="D660">
        <v>56</v>
      </c>
      <c r="E660" s="10" t="s">
        <v>27</v>
      </c>
      <c r="F660" s="11">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697</v>
      </c>
      <c r="C661" t="s">
        <v>49</v>
      </c>
      <c r="D661">
        <v>132</v>
      </c>
      <c r="E661" s="10" t="s">
        <v>40</v>
      </c>
      <c r="F661" s="11">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698</v>
      </c>
      <c r="C662" t="s">
        <v>37</v>
      </c>
      <c r="D662">
        <v>72</v>
      </c>
      <c r="E662" s="10" t="s">
        <v>33</v>
      </c>
      <c r="F662" s="11">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699</v>
      </c>
      <c r="C663" t="s">
        <v>50</v>
      </c>
      <c r="D663">
        <v>18</v>
      </c>
      <c r="E663" s="10" t="s">
        <v>33</v>
      </c>
      <c r="F663" s="11">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700</v>
      </c>
      <c r="C664" t="s">
        <v>32</v>
      </c>
      <c r="D664">
        <v>115</v>
      </c>
      <c r="E664" s="10" t="s">
        <v>46</v>
      </c>
      <c r="F664" s="11">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701</v>
      </c>
      <c r="C665" t="s">
        <v>32</v>
      </c>
      <c r="D665">
        <v>124</v>
      </c>
      <c r="E665" s="10" t="s">
        <v>27</v>
      </c>
      <c r="F665" s="11">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702</v>
      </c>
      <c r="C666" t="s">
        <v>22</v>
      </c>
      <c r="D666">
        <v>130</v>
      </c>
      <c r="E666" s="10" t="s">
        <v>27</v>
      </c>
      <c r="F666" s="11">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703</v>
      </c>
      <c r="C667" t="s">
        <v>54</v>
      </c>
      <c r="D667">
        <v>120</v>
      </c>
      <c r="E667" s="10" t="s">
        <v>17</v>
      </c>
      <c r="F667" s="11">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704</v>
      </c>
      <c r="C668" t="s">
        <v>45</v>
      </c>
      <c r="D668">
        <v>75</v>
      </c>
      <c r="E668" s="10" t="s">
        <v>46</v>
      </c>
      <c r="F668" s="11">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705</v>
      </c>
      <c r="C669" t="s">
        <v>16</v>
      </c>
      <c r="D669">
        <v>63</v>
      </c>
      <c r="E669" s="10" t="s">
        <v>46</v>
      </c>
      <c r="F669" s="11">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706</v>
      </c>
      <c r="C670" t="s">
        <v>49</v>
      </c>
      <c r="D670">
        <v>74</v>
      </c>
      <c r="E670" s="10" t="s">
        <v>46</v>
      </c>
      <c r="F670" s="11">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707</v>
      </c>
      <c r="C671" t="s">
        <v>35</v>
      </c>
      <c r="D671">
        <v>134</v>
      </c>
      <c r="E671" s="10" t="s">
        <v>40</v>
      </c>
      <c r="F671" s="11">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708</v>
      </c>
      <c r="C672" t="s">
        <v>50</v>
      </c>
      <c r="D672">
        <v>103</v>
      </c>
      <c r="E672" s="10" t="s">
        <v>27</v>
      </c>
      <c r="F672" s="11">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709</v>
      </c>
      <c r="C673" t="s">
        <v>50</v>
      </c>
      <c r="D673">
        <v>155</v>
      </c>
      <c r="E673" s="10" t="s">
        <v>17</v>
      </c>
      <c r="F673" s="11">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710</v>
      </c>
      <c r="C674" t="s">
        <v>16</v>
      </c>
      <c r="D674">
        <v>128</v>
      </c>
      <c r="E674" s="10" t="s">
        <v>27</v>
      </c>
      <c r="F674" s="11">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711</v>
      </c>
      <c r="C675" t="s">
        <v>45</v>
      </c>
      <c r="D675">
        <v>89</v>
      </c>
      <c r="E675" s="10" t="s">
        <v>40</v>
      </c>
      <c r="F675" s="11">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712</v>
      </c>
      <c r="C676" t="s">
        <v>32</v>
      </c>
      <c r="D676">
        <v>81</v>
      </c>
      <c r="E676" s="10" t="s">
        <v>17</v>
      </c>
      <c r="F676" s="11">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713</v>
      </c>
      <c r="C677" t="s">
        <v>45</v>
      </c>
      <c r="D677">
        <v>66</v>
      </c>
      <c r="E677" s="10" t="s">
        <v>40</v>
      </c>
      <c r="F677" s="11">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714</v>
      </c>
      <c r="C678" t="s">
        <v>37</v>
      </c>
      <c r="D678">
        <v>61</v>
      </c>
      <c r="E678" s="10" t="s">
        <v>33</v>
      </c>
      <c r="F678" s="11">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715</v>
      </c>
      <c r="C679" t="s">
        <v>32</v>
      </c>
      <c r="D679">
        <v>128</v>
      </c>
      <c r="E679" s="10" t="s">
        <v>33</v>
      </c>
      <c r="F679" s="11">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716</v>
      </c>
      <c r="C680" t="s">
        <v>50</v>
      </c>
      <c r="D680">
        <v>30</v>
      </c>
      <c r="E680" s="10" t="s">
        <v>17</v>
      </c>
      <c r="F680" s="11">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717</v>
      </c>
      <c r="C681" t="s">
        <v>41</v>
      </c>
      <c r="D681">
        <v>63</v>
      </c>
      <c r="E681" s="10" t="s">
        <v>33</v>
      </c>
      <c r="F681" s="11">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718</v>
      </c>
      <c r="C682" t="s">
        <v>23</v>
      </c>
      <c r="D682">
        <v>64</v>
      </c>
      <c r="E682" s="10" t="s">
        <v>46</v>
      </c>
      <c r="F682" s="11">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719</v>
      </c>
      <c r="C683" t="s">
        <v>30</v>
      </c>
      <c r="D683">
        <v>151</v>
      </c>
      <c r="E683" s="10" t="s">
        <v>27</v>
      </c>
      <c r="F683" s="11">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720</v>
      </c>
      <c r="C684" t="s">
        <v>18</v>
      </c>
      <c r="D684">
        <v>116</v>
      </c>
      <c r="E684" s="10" t="s">
        <v>40</v>
      </c>
      <c r="F684" s="11">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721</v>
      </c>
      <c r="C685" t="s">
        <v>30</v>
      </c>
      <c r="D685">
        <v>111</v>
      </c>
      <c r="E685" s="10" t="s">
        <v>40</v>
      </c>
      <c r="F685" s="11">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722</v>
      </c>
      <c r="C686" t="s">
        <v>32</v>
      </c>
      <c r="D686">
        <v>15</v>
      </c>
      <c r="E686" s="10" t="s">
        <v>40</v>
      </c>
      <c r="F686" s="11">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723</v>
      </c>
      <c r="C687" t="s">
        <v>23</v>
      </c>
      <c r="D687">
        <v>18</v>
      </c>
      <c r="E687" s="10" t="s">
        <v>27</v>
      </c>
      <c r="F687" s="11">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724</v>
      </c>
      <c r="C688" t="s">
        <v>37</v>
      </c>
      <c r="D688">
        <v>146</v>
      </c>
      <c r="E688" s="10" t="s">
        <v>33</v>
      </c>
      <c r="F688" s="11">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725</v>
      </c>
      <c r="C689" t="s">
        <v>50</v>
      </c>
      <c r="D689">
        <v>73</v>
      </c>
      <c r="E689" s="10" t="s">
        <v>40</v>
      </c>
      <c r="F689" s="11">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726</v>
      </c>
      <c r="C690" t="s">
        <v>30</v>
      </c>
      <c r="D690">
        <v>108</v>
      </c>
      <c r="E690" s="10" t="s">
        <v>27</v>
      </c>
      <c r="F690" s="11">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727</v>
      </c>
      <c r="C691" t="s">
        <v>35</v>
      </c>
      <c r="D691">
        <v>52</v>
      </c>
      <c r="E691" s="10" t="s">
        <v>27</v>
      </c>
      <c r="F691" s="11">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728</v>
      </c>
      <c r="C692" t="s">
        <v>18</v>
      </c>
      <c r="D692">
        <v>165</v>
      </c>
      <c r="E692" s="10" t="s">
        <v>46</v>
      </c>
      <c r="F692" s="11">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729</v>
      </c>
      <c r="C693" t="s">
        <v>37</v>
      </c>
      <c r="D693">
        <v>104</v>
      </c>
      <c r="E693" s="10" t="s">
        <v>40</v>
      </c>
      <c r="F693" s="11">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730</v>
      </c>
      <c r="C694" t="s">
        <v>50</v>
      </c>
      <c r="D694">
        <v>131</v>
      </c>
      <c r="E694" s="10" t="s">
        <v>33</v>
      </c>
      <c r="F694" s="11">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731</v>
      </c>
      <c r="C695" t="s">
        <v>54</v>
      </c>
      <c r="D695">
        <v>80</v>
      </c>
      <c r="E695" s="10" t="s">
        <v>46</v>
      </c>
      <c r="F695" s="11">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732</v>
      </c>
      <c r="C696" t="s">
        <v>32</v>
      </c>
      <c r="D696">
        <v>49</v>
      </c>
      <c r="E696" s="10" t="s">
        <v>40</v>
      </c>
      <c r="F696" s="11">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733</v>
      </c>
      <c r="C697" t="s">
        <v>18</v>
      </c>
      <c r="D697">
        <v>73</v>
      </c>
      <c r="E697" s="10" t="s">
        <v>40</v>
      </c>
      <c r="F697" s="11">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734</v>
      </c>
      <c r="C698" t="s">
        <v>37</v>
      </c>
      <c r="D698">
        <v>117</v>
      </c>
      <c r="E698" s="10" t="s">
        <v>46</v>
      </c>
      <c r="F698" s="11">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735</v>
      </c>
      <c r="C699" t="s">
        <v>26</v>
      </c>
      <c r="D699">
        <v>38</v>
      </c>
      <c r="E699" s="10" t="s">
        <v>17</v>
      </c>
      <c r="F699" s="11">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736</v>
      </c>
      <c r="C700" t="s">
        <v>35</v>
      </c>
      <c r="D700">
        <v>109</v>
      </c>
      <c r="E700" s="10" t="s">
        <v>46</v>
      </c>
      <c r="F700" s="11">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737</v>
      </c>
      <c r="C701" t="s">
        <v>32</v>
      </c>
      <c r="D701">
        <v>70</v>
      </c>
      <c r="E701" s="10" t="s">
        <v>27</v>
      </c>
      <c r="F701" s="11">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738</v>
      </c>
      <c r="C702" t="s">
        <v>22</v>
      </c>
      <c r="D702">
        <v>51</v>
      </c>
      <c r="E702" s="10" t="s">
        <v>17</v>
      </c>
      <c r="F702" s="11">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739</v>
      </c>
      <c r="C703" t="s">
        <v>22</v>
      </c>
      <c r="D703">
        <v>100</v>
      </c>
      <c r="E703" s="10" t="s">
        <v>27</v>
      </c>
      <c r="F703" s="11">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740</v>
      </c>
      <c r="C704" t="s">
        <v>49</v>
      </c>
      <c r="D704">
        <v>124</v>
      </c>
      <c r="E704" s="10" t="s">
        <v>17</v>
      </c>
      <c r="F704" s="11">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741</v>
      </c>
      <c r="C705" t="s">
        <v>16</v>
      </c>
      <c r="D705">
        <v>143</v>
      </c>
      <c r="E705" s="10" t="s">
        <v>46</v>
      </c>
      <c r="F705" s="11">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742</v>
      </c>
      <c r="C706" t="s">
        <v>45</v>
      </c>
      <c r="D706">
        <v>96</v>
      </c>
      <c r="E706" s="10" t="s">
        <v>40</v>
      </c>
      <c r="F706" s="11">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743</v>
      </c>
      <c r="C707" t="s">
        <v>18</v>
      </c>
      <c r="D707">
        <v>84</v>
      </c>
      <c r="E707" s="10" t="s">
        <v>27</v>
      </c>
      <c r="F707" s="11">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744</v>
      </c>
      <c r="C708" t="s">
        <v>43</v>
      </c>
      <c r="D708">
        <v>111</v>
      </c>
      <c r="E708" s="10" t="s">
        <v>27</v>
      </c>
      <c r="F708" s="11">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745</v>
      </c>
      <c r="C709" t="s">
        <v>43</v>
      </c>
      <c r="D709">
        <v>103</v>
      </c>
      <c r="E709" s="10" t="s">
        <v>17</v>
      </c>
      <c r="F709" s="11">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746</v>
      </c>
      <c r="C710" t="s">
        <v>16</v>
      </c>
      <c r="D710">
        <v>61</v>
      </c>
      <c r="E710" s="10" t="s">
        <v>33</v>
      </c>
      <c r="F710" s="11">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747</v>
      </c>
      <c r="C711" t="s">
        <v>50</v>
      </c>
      <c r="D711">
        <v>113</v>
      </c>
      <c r="E711" s="10" t="s">
        <v>40</v>
      </c>
      <c r="F711" s="11">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748</v>
      </c>
      <c r="C712" t="s">
        <v>50</v>
      </c>
      <c r="D712">
        <v>96</v>
      </c>
      <c r="E712" s="10" t="s">
        <v>40</v>
      </c>
      <c r="F712" s="11">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749</v>
      </c>
      <c r="C713" t="s">
        <v>23</v>
      </c>
      <c r="D713">
        <v>131</v>
      </c>
      <c r="E713" s="10" t="s">
        <v>17</v>
      </c>
      <c r="F713" s="11">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750</v>
      </c>
      <c r="C714" t="s">
        <v>37</v>
      </c>
      <c r="D714">
        <v>52</v>
      </c>
      <c r="E714" s="10" t="s">
        <v>40</v>
      </c>
      <c r="F714" s="11">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751</v>
      </c>
      <c r="C715" t="s">
        <v>22</v>
      </c>
      <c r="D715">
        <v>100</v>
      </c>
      <c r="E715" s="10" t="s">
        <v>17</v>
      </c>
      <c r="F715" s="11">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752</v>
      </c>
      <c r="C716" t="s">
        <v>30</v>
      </c>
      <c r="D716">
        <v>58</v>
      </c>
      <c r="E716" s="10" t="s">
        <v>46</v>
      </c>
      <c r="F716" s="11">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753</v>
      </c>
      <c r="C717" t="s">
        <v>32</v>
      </c>
      <c r="D717">
        <v>144</v>
      </c>
      <c r="E717" s="10" t="s">
        <v>46</v>
      </c>
      <c r="F717" s="11">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754</v>
      </c>
      <c r="C718" t="s">
        <v>30</v>
      </c>
      <c r="D718">
        <v>53</v>
      </c>
      <c r="E718" s="10" t="s">
        <v>33</v>
      </c>
      <c r="F718" s="11">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755</v>
      </c>
      <c r="C719" t="s">
        <v>50</v>
      </c>
      <c r="D719">
        <v>97</v>
      </c>
      <c r="E719" s="10" t="s">
        <v>27</v>
      </c>
      <c r="F719" s="11">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756</v>
      </c>
      <c r="C720" t="s">
        <v>26</v>
      </c>
      <c r="D720">
        <v>64</v>
      </c>
      <c r="E720" s="10" t="s">
        <v>46</v>
      </c>
      <c r="F720" s="11">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757</v>
      </c>
      <c r="C721" t="s">
        <v>16</v>
      </c>
      <c r="D721">
        <v>106</v>
      </c>
      <c r="E721" s="10" t="s">
        <v>17</v>
      </c>
      <c r="F721" s="11">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758</v>
      </c>
      <c r="C722" t="s">
        <v>18</v>
      </c>
      <c r="D722">
        <v>36</v>
      </c>
      <c r="E722" s="10" t="s">
        <v>46</v>
      </c>
      <c r="F722" s="11">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759</v>
      </c>
      <c r="C723" t="s">
        <v>32</v>
      </c>
      <c r="D723">
        <v>74</v>
      </c>
      <c r="E723" s="10" t="s">
        <v>40</v>
      </c>
      <c r="F723" s="11">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760</v>
      </c>
      <c r="C724" t="s">
        <v>35</v>
      </c>
      <c r="D724">
        <v>143</v>
      </c>
      <c r="E724" s="10" t="s">
        <v>27</v>
      </c>
      <c r="F724" s="11">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761</v>
      </c>
      <c r="C725" t="s">
        <v>16</v>
      </c>
      <c r="D725">
        <v>94</v>
      </c>
      <c r="E725" s="10" t="s">
        <v>33</v>
      </c>
      <c r="F725" s="11">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762</v>
      </c>
      <c r="C726" t="s">
        <v>54</v>
      </c>
      <c r="D726">
        <v>124</v>
      </c>
      <c r="E726" s="10" t="s">
        <v>17</v>
      </c>
      <c r="F726" s="11">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763</v>
      </c>
      <c r="C727" t="s">
        <v>18</v>
      </c>
      <c r="D727">
        <v>156</v>
      </c>
      <c r="E727" s="10" t="s">
        <v>46</v>
      </c>
      <c r="F727" s="11">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764</v>
      </c>
      <c r="C728" t="s">
        <v>45</v>
      </c>
      <c r="D728">
        <v>107</v>
      </c>
      <c r="E728" s="10" t="s">
        <v>27</v>
      </c>
      <c r="F728" s="11">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765</v>
      </c>
      <c r="C729" t="s">
        <v>16</v>
      </c>
      <c r="D729">
        <v>58</v>
      </c>
      <c r="E729" s="10" t="s">
        <v>27</v>
      </c>
      <c r="F729" s="11">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766</v>
      </c>
      <c r="C730" t="s">
        <v>49</v>
      </c>
      <c r="D730">
        <v>66</v>
      </c>
      <c r="E730" s="10" t="s">
        <v>27</v>
      </c>
      <c r="F730" s="11">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767</v>
      </c>
      <c r="C731" t="s">
        <v>23</v>
      </c>
      <c r="D731">
        <v>75</v>
      </c>
      <c r="E731" s="10" t="s">
        <v>46</v>
      </c>
      <c r="F731" s="11">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768</v>
      </c>
      <c r="C732" t="s">
        <v>45</v>
      </c>
      <c r="D732">
        <v>8</v>
      </c>
      <c r="E732" s="10" t="s">
        <v>27</v>
      </c>
      <c r="F732" s="11">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769</v>
      </c>
      <c r="C733" t="s">
        <v>26</v>
      </c>
      <c r="D733">
        <v>76</v>
      </c>
      <c r="E733" s="10" t="s">
        <v>46</v>
      </c>
      <c r="F733" s="11">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770</v>
      </c>
      <c r="C734" t="s">
        <v>16</v>
      </c>
      <c r="D734">
        <v>110</v>
      </c>
      <c r="E734" s="10" t="s">
        <v>46</v>
      </c>
      <c r="F734" s="11">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771</v>
      </c>
      <c r="C735" t="s">
        <v>49</v>
      </c>
      <c r="D735">
        <v>50</v>
      </c>
      <c r="E735" s="10" t="s">
        <v>33</v>
      </c>
      <c r="F735" s="11">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772</v>
      </c>
      <c r="C736" t="s">
        <v>37</v>
      </c>
      <c r="D736">
        <v>78</v>
      </c>
      <c r="E736" s="10" t="s">
        <v>33</v>
      </c>
      <c r="F736" s="11">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773</v>
      </c>
      <c r="C737" t="s">
        <v>50</v>
      </c>
      <c r="D737">
        <v>59</v>
      </c>
      <c r="E737" s="10" t="s">
        <v>17</v>
      </c>
      <c r="F737" s="11">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774</v>
      </c>
      <c r="C738" t="s">
        <v>37</v>
      </c>
      <c r="D738">
        <v>126</v>
      </c>
      <c r="E738" s="10" t="s">
        <v>27</v>
      </c>
      <c r="F738" s="11">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775</v>
      </c>
      <c r="C739" t="s">
        <v>26</v>
      </c>
      <c r="D739">
        <v>43</v>
      </c>
      <c r="E739" s="10" t="s">
        <v>17</v>
      </c>
      <c r="F739" s="11">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776</v>
      </c>
      <c r="C740" t="s">
        <v>18</v>
      </c>
      <c r="D740">
        <v>79</v>
      </c>
      <c r="E740" s="10" t="s">
        <v>46</v>
      </c>
      <c r="F740" s="11">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777</v>
      </c>
      <c r="C741" t="s">
        <v>16</v>
      </c>
      <c r="D741">
        <v>71</v>
      </c>
      <c r="E741" s="10" t="s">
        <v>17</v>
      </c>
      <c r="F741" s="11">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778</v>
      </c>
      <c r="C742" t="s">
        <v>43</v>
      </c>
      <c r="D742">
        <v>94</v>
      </c>
      <c r="E742" s="10" t="s">
        <v>27</v>
      </c>
      <c r="F742" s="11">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779</v>
      </c>
      <c r="C743" t="s">
        <v>45</v>
      </c>
      <c r="D743">
        <v>108</v>
      </c>
      <c r="E743" s="10" t="s">
        <v>17</v>
      </c>
      <c r="F743" s="11">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780</v>
      </c>
      <c r="C744" t="s">
        <v>26</v>
      </c>
      <c r="D744">
        <v>76</v>
      </c>
      <c r="E744" s="10" t="s">
        <v>27</v>
      </c>
      <c r="F744" s="11">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781</v>
      </c>
      <c r="C745" t="s">
        <v>50</v>
      </c>
      <c r="D745">
        <v>136</v>
      </c>
      <c r="E745" s="10" t="s">
        <v>17</v>
      </c>
      <c r="F745" s="11">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782</v>
      </c>
      <c r="C746" t="s">
        <v>22</v>
      </c>
      <c r="D746">
        <v>129</v>
      </c>
      <c r="E746" s="10" t="s">
        <v>33</v>
      </c>
      <c r="F746" s="11">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783</v>
      </c>
      <c r="C747" t="s">
        <v>45</v>
      </c>
      <c r="D747">
        <v>120</v>
      </c>
      <c r="E747" s="10" t="s">
        <v>17</v>
      </c>
      <c r="F747" s="11">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784</v>
      </c>
      <c r="C748" t="s">
        <v>26</v>
      </c>
      <c r="D748">
        <v>108</v>
      </c>
      <c r="E748" s="10" t="s">
        <v>33</v>
      </c>
      <c r="F748" s="11">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785</v>
      </c>
      <c r="C749" t="s">
        <v>37</v>
      </c>
      <c r="D749">
        <v>79</v>
      </c>
      <c r="E749" s="10" t="s">
        <v>17</v>
      </c>
      <c r="F749" s="11">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786</v>
      </c>
      <c r="C750" t="s">
        <v>37</v>
      </c>
      <c r="D750">
        <v>45</v>
      </c>
      <c r="E750" s="10" t="s">
        <v>33</v>
      </c>
      <c r="F750" s="11">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787</v>
      </c>
      <c r="C751" t="s">
        <v>32</v>
      </c>
      <c r="D751">
        <v>96</v>
      </c>
      <c r="E751" s="10" t="s">
        <v>17</v>
      </c>
      <c r="F751" s="11">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788</v>
      </c>
      <c r="C752" t="s">
        <v>32</v>
      </c>
      <c r="D752">
        <v>81</v>
      </c>
      <c r="E752" s="10" t="s">
        <v>17</v>
      </c>
      <c r="F752" s="11">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789</v>
      </c>
      <c r="C753" t="s">
        <v>50</v>
      </c>
      <c r="D753">
        <v>95</v>
      </c>
      <c r="E753" s="10" t="s">
        <v>40</v>
      </c>
      <c r="F753" s="11">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790</v>
      </c>
      <c r="C754" t="s">
        <v>54</v>
      </c>
      <c r="D754">
        <v>159</v>
      </c>
      <c r="E754" s="10" t="s">
        <v>27</v>
      </c>
      <c r="F754" s="11">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791</v>
      </c>
      <c r="C755" t="s">
        <v>41</v>
      </c>
      <c r="D755">
        <v>109</v>
      </c>
      <c r="E755" s="10" t="s">
        <v>46</v>
      </c>
      <c r="F755" s="11">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792</v>
      </c>
      <c r="C756" t="s">
        <v>37</v>
      </c>
      <c r="D756">
        <v>107</v>
      </c>
      <c r="E756" s="10" t="s">
        <v>46</v>
      </c>
      <c r="F756" s="11">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793</v>
      </c>
      <c r="C757" t="s">
        <v>32</v>
      </c>
      <c r="D757">
        <v>67</v>
      </c>
      <c r="E757" s="10" t="s">
        <v>33</v>
      </c>
      <c r="F757" s="11">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794</v>
      </c>
      <c r="C758" t="s">
        <v>23</v>
      </c>
      <c r="D758">
        <v>96</v>
      </c>
      <c r="E758" s="10" t="s">
        <v>17</v>
      </c>
      <c r="F758" s="11">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795</v>
      </c>
      <c r="C759" t="s">
        <v>35</v>
      </c>
      <c r="D759">
        <v>142</v>
      </c>
      <c r="E759" s="10" t="s">
        <v>27</v>
      </c>
      <c r="F759" s="11">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796</v>
      </c>
      <c r="C760" t="s">
        <v>35</v>
      </c>
      <c r="D760">
        <v>71</v>
      </c>
      <c r="E760" s="10" t="s">
        <v>40</v>
      </c>
      <c r="F760" s="11">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797</v>
      </c>
      <c r="C761" t="s">
        <v>23</v>
      </c>
      <c r="D761">
        <v>152</v>
      </c>
      <c r="E761" s="10" t="s">
        <v>40</v>
      </c>
      <c r="F761" s="11">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798</v>
      </c>
      <c r="C762" t="s">
        <v>18</v>
      </c>
      <c r="D762">
        <v>108</v>
      </c>
      <c r="E762" s="10" t="s">
        <v>27</v>
      </c>
      <c r="F762" s="11">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799</v>
      </c>
      <c r="C763" t="s">
        <v>18</v>
      </c>
      <c r="D763">
        <v>156</v>
      </c>
      <c r="E763" s="10" t="s">
        <v>40</v>
      </c>
      <c r="F763" s="11">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800</v>
      </c>
      <c r="C764" t="s">
        <v>35</v>
      </c>
      <c r="D764">
        <v>126</v>
      </c>
      <c r="E764" s="10" t="s">
        <v>27</v>
      </c>
      <c r="F764" s="11">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801</v>
      </c>
      <c r="C765" t="s">
        <v>26</v>
      </c>
      <c r="D765">
        <v>135</v>
      </c>
      <c r="E765" s="10" t="s">
        <v>40</v>
      </c>
      <c r="F765" s="11">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802</v>
      </c>
      <c r="C766" t="s">
        <v>35</v>
      </c>
      <c r="D766">
        <v>110</v>
      </c>
      <c r="E766" s="10" t="s">
        <v>17</v>
      </c>
      <c r="F766" s="11">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803</v>
      </c>
      <c r="C767" t="s">
        <v>54</v>
      </c>
      <c r="D767">
        <v>64</v>
      </c>
      <c r="E767" s="10" t="s">
        <v>40</v>
      </c>
      <c r="F767" s="11">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804</v>
      </c>
      <c r="C768" t="s">
        <v>43</v>
      </c>
      <c r="D768">
        <v>127</v>
      </c>
      <c r="E768" s="10" t="s">
        <v>27</v>
      </c>
      <c r="F768" s="11">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805</v>
      </c>
      <c r="C769" t="s">
        <v>41</v>
      </c>
      <c r="D769">
        <v>124</v>
      </c>
      <c r="E769" s="10" t="s">
        <v>33</v>
      </c>
      <c r="F769" s="11">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806</v>
      </c>
      <c r="C770" t="s">
        <v>54</v>
      </c>
      <c r="D770">
        <v>125</v>
      </c>
      <c r="E770" s="10" t="s">
        <v>27</v>
      </c>
      <c r="F770" s="11">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807</v>
      </c>
      <c r="C771" t="s">
        <v>22</v>
      </c>
      <c r="D771">
        <v>70</v>
      </c>
      <c r="E771" s="10" t="s">
        <v>27</v>
      </c>
      <c r="F771" s="11">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808</v>
      </c>
      <c r="C772" t="s">
        <v>43</v>
      </c>
      <c r="D772">
        <v>93</v>
      </c>
      <c r="E772" s="10" t="s">
        <v>40</v>
      </c>
      <c r="F772" s="11">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809</v>
      </c>
      <c r="C773" t="s">
        <v>22</v>
      </c>
      <c r="D773">
        <v>120</v>
      </c>
      <c r="E773" s="10" t="s">
        <v>46</v>
      </c>
      <c r="F773" s="11">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810</v>
      </c>
      <c r="C774" t="s">
        <v>32</v>
      </c>
      <c r="D774">
        <v>96</v>
      </c>
      <c r="E774" s="10" t="s">
        <v>17</v>
      </c>
      <c r="F774" s="11">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811</v>
      </c>
      <c r="C775" t="s">
        <v>30</v>
      </c>
      <c r="D775">
        <v>67</v>
      </c>
      <c r="E775" s="10" t="s">
        <v>17</v>
      </c>
      <c r="F775" s="11">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812</v>
      </c>
      <c r="C776" t="s">
        <v>54</v>
      </c>
      <c r="D776">
        <v>119</v>
      </c>
      <c r="E776" s="10" t="s">
        <v>17</v>
      </c>
      <c r="F776" s="11">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813</v>
      </c>
      <c r="C777" t="s">
        <v>41</v>
      </c>
      <c r="D777">
        <v>61</v>
      </c>
      <c r="E777" s="10" t="s">
        <v>33</v>
      </c>
      <c r="F777" s="11">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814</v>
      </c>
      <c r="C778" t="s">
        <v>32</v>
      </c>
      <c r="D778">
        <v>29</v>
      </c>
      <c r="E778" s="10" t="s">
        <v>40</v>
      </c>
      <c r="F778" s="11">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815</v>
      </c>
      <c r="C779" t="s">
        <v>23</v>
      </c>
      <c r="D779">
        <v>134</v>
      </c>
      <c r="E779" s="10" t="s">
        <v>46</v>
      </c>
      <c r="F779" s="11">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816</v>
      </c>
      <c r="C780" t="s">
        <v>35</v>
      </c>
      <c r="D780">
        <v>113</v>
      </c>
      <c r="E780" s="10" t="s">
        <v>17</v>
      </c>
      <c r="F780" s="11">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817</v>
      </c>
      <c r="C781" t="s">
        <v>18</v>
      </c>
      <c r="D781">
        <v>12</v>
      </c>
      <c r="E781" s="10" t="s">
        <v>46</v>
      </c>
      <c r="F781" s="11">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818</v>
      </c>
      <c r="C782" t="s">
        <v>49</v>
      </c>
      <c r="D782">
        <v>78</v>
      </c>
      <c r="E782" s="10" t="s">
        <v>40</v>
      </c>
      <c r="F782" s="11">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819</v>
      </c>
      <c r="C783" t="s">
        <v>54</v>
      </c>
      <c r="D783">
        <v>82</v>
      </c>
      <c r="E783" s="10" t="s">
        <v>27</v>
      </c>
      <c r="F783" s="11">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820</v>
      </c>
      <c r="C784" t="s">
        <v>45</v>
      </c>
      <c r="D784">
        <v>149</v>
      </c>
      <c r="E784" s="10" t="s">
        <v>33</v>
      </c>
      <c r="F784" s="11">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821</v>
      </c>
      <c r="C785" t="s">
        <v>37</v>
      </c>
      <c r="D785">
        <v>56</v>
      </c>
      <c r="E785" s="10" t="s">
        <v>46</v>
      </c>
      <c r="F785" s="11">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822</v>
      </c>
      <c r="C786" t="s">
        <v>32</v>
      </c>
      <c r="D786">
        <v>80</v>
      </c>
      <c r="E786" s="10" t="s">
        <v>33</v>
      </c>
      <c r="F786" s="11">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823</v>
      </c>
      <c r="C787" t="s">
        <v>41</v>
      </c>
      <c r="D787">
        <v>131</v>
      </c>
      <c r="E787" s="10" t="s">
        <v>17</v>
      </c>
      <c r="F787" s="11">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824</v>
      </c>
      <c r="C788" t="s">
        <v>41</v>
      </c>
      <c r="D788">
        <v>109</v>
      </c>
      <c r="E788" s="10" t="s">
        <v>17</v>
      </c>
      <c r="F788" s="11">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825</v>
      </c>
      <c r="C789" t="s">
        <v>37</v>
      </c>
      <c r="D789">
        <v>142</v>
      </c>
      <c r="E789" s="10" t="s">
        <v>17</v>
      </c>
      <c r="F789" s="11">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826</v>
      </c>
      <c r="C790" t="s">
        <v>43</v>
      </c>
      <c r="D790">
        <v>114</v>
      </c>
      <c r="E790" s="10" t="s">
        <v>46</v>
      </c>
      <c r="F790" s="11">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827</v>
      </c>
      <c r="C791" t="s">
        <v>30</v>
      </c>
      <c r="D791">
        <v>93</v>
      </c>
      <c r="E791" s="10" t="s">
        <v>33</v>
      </c>
      <c r="F791" s="11">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828</v>
      </c>
      <c r="C792" t="s">
        <v>18</v>
      </c>
      <c r="D792">
        <v>43</v>
      </c>
      <c r="E792" s="10" t="s">
        <v>33</v>
      </c>
      <c r="F792" s="11">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829</v>
      </c>
      <c r="C793" t="s">
        <v>23</v>
      </c>
      <c r="D793">
        <v>78</v>
      </c>
      <c r="E793" s="10" t="s">
        <v>40</v>
      </c>
      <c r="F793" s="11">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830</v>
      </c>
      <c r="C794" t="s">
        <v>43</v>
      </c>
      <c r="D794">
        <v>89</v>
      </c>
      <c r="E794" s="10" t="s">
        <v>17</v>
      </c>
      <c r="F794" s="11">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831</v>
      </c>
      <c r="C795" t="s">
        <v>37</v>
      </c>
      <c r="D795">
        <v>82</v>
      </c>
      <c r="E795" s="10" t="s">
        <v>27</v>
      </c>
      <c r="F795" s="11">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832</v>
      </c>
      <c r="C796" t="s">
        <v>32</v>
      </c>
      <c r="D796">
        <v>86</v>
      </c>
      <c r="E796" s="10" t="s">
        <v>17</v>
      </c>
      <c r="F796" s="11">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833</v>
      </c>
      <c r="C797" t="s">
        <v>50</v>
      </c>
      <c r="D797">
        <v>57</v>
      </c>
      <c r="E797" s="10" t="s">
        <v>40</v>
      </c>
      <c r="F797" s="11">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834</v>
      </c>
      <c r="C798" t="s">
        <v>30</v>
      </c>
      <c r="D798">
        <v>103</v>
      </c>
      <c r="E798" s="10" t="s">
        <v>46</v>
      </c>
      <c r="F798" s="11">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835</v>
      </c>
      <c r="C799" t="s">
        <v>49</v>
      </c>
      <c r="D799">
        <v>138</v>
      </c>
      <c r="E799" s="10" t="s">
        <v>40</v>
      </c>
      <c r="F799" s="11">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836</v>
      </c>
      <c r="C800" t="s">
        <v>45</v>
      </c>
      <c r="D800">
        <v>88</v>
      </c>
      <c r="E800" s="10" t="s">
        <v>27</v>
      </c>
      <c r="F800" s="11">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837</v>
      </c>
      <c r="C801" t="s">
        <v>43</v>
      </c>
      <c r="D801">
        <v>118</v>
      </c>
      <c r="E801" s="10" t="s">
        <v>33</v>
      </c>
      <c r="F801" s="11">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838</v>
      </c>
      <c r="C802" t="s">
        <v>32</v>
      </c>
      <c r="D802">
        <v>4</v>
      </c>
      <c r="E802" s="10" t="s">
        <v>17</v>
      </c>
      <c r="F802" s="11">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839</v>
      </c>
      <c r="C803" t="s">
        <v>18</v>
      </c>
      <c r="D803">
        <v>78</v>
      </c>
      <c r="E803" s="10" t="s">
        <v>46</v>
      </c>
      <c r="F803" s="11">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840</v>
      </c>
      <c r="C804" t="s">
        <v>35</v>
      </c>
      <c r="D804">
        <v>69</v>
      </c>
      <c r="E804" s="10" t="s">
        <v>17</v>
      </c>
      <c r="F804" s="11">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841</v>
      </c>
      <c r="C805" t="s">
        <v>37</v>
      </c>
      <c r="D805">
        <v>90</v>
      </c>
      <c r="E805" s="10" t="s">
        <v>40</v>
      </c>
      <c r="F805" s="11">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842</v>
      </c>
      <c r="C806" t="s">
        <v>35</v>
      </c>
      <c r="D806">
        <v>134</v>
      </c>
      <c r="E806" s="10" t="s">
        <v>17</v>
      </c>
      <c r="F806" s="11">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843</v>
      </c>
      <c r="C807" t="s">
        <v>22</v>
      </c>
      <c r="D807">
        <v>65</v>
      </c>
      <c r="E807" s="10" t="s">
        <v>33</v>
      </c>
      <c r="F807" s="11">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844</v>
      </c>
      <c r="C808" t="s">
        <v>26</v>
      </c>
      <c r="D808">
        <v>54</v>
      </c>
      <c r="E808" s="10" t="s">
        <v>46</v>
      </c>
      <c r="F808" s="11">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845</v>
      </c>
      <c r="C809" t="s">
        <v>26</v>
      </c>
      <c r="D809">
        <v>90</v>
      </c>
      <c r="E809" s="10" t="s">
        <v>46</v>
      </c>
      <c r="F809" s="11">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846</v>
      </c>
      <c r="C810" t="s">
        <v>37</v>
      </c>
      <c r="D810">
        <v>66</v>
      </c>
      <c r="E810" s="10" t="s">
        <v>46</v>
      </c>
      <c r="F810" s="11">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847</v>
      </c>
      <c r="C811" t="s">
        <v>32</v>
      </c>
      <c r="D811">
        <v>150</v>
      </c>
      <c r="E811" s="10" t="s">
        <v>46</v>
      </c>
      <c r="F811" s="11">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848</v>
      </c>
      <c r="C812" t="s">
        <v>23</v>
      </c>
      <c r="D812">
        <v>18</v>
      </c>
      <c r="E812" s="10" t="s">
        <v>33</v>
      </c>
      <c r="F812" s="11">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849</v>
      </c>
      <c r="C813" t="s">
        <v>26</v>
      </c>
      <c r="D813">
        <v>87</v>
      </c>
      <c r="E813" s="10" t="s">
        <v>33</v>
      </c>
      <c r="F813" s="11">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850</v>
      </c>
      <c r="C814" t="s">
        <v>49</v>
      </c>
      <c r="D814">
        <v>94</v>
      </c>
      <c r="E814" s="10" t="s">
        <v>46</v>
      </c>
      <c r="F814" s="11">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851</v>
      </c>
      <c r="C815" t="s">
        <v>50</v>
      </c>
      <c r="D815">
        <v>56</v>
      </c>
      <c r="E815" s="10" t="s">
        <v>46</v>
      </c>
      <c r="F815" s="11">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852</v>
      </c>
      <c r="C816" t="s">
        <v>43</v>
      </c>
      <c r="D816">
        <v>41</v>
      </c>
      <c r="E816" s="10" t="s">
        <v>27</v>
      </c>
      <c r="F816" s="11">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853</v>
      </c>
      <c r="C817" t="s">
        <v>32</v>
      </c>
      <c r="D817">
        <v>119</v>
      </c>
      <c r="E817" s="10" t="s">
        <v>40</v>
      </c>
      <c r="F817" s="11">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854</v>
      </c>
      <c r="C818" t="s">
        <v>30</v>
      </c>
      <c r="D818">
        <v>108</v>
      </c>
      <c r="E818" s="10" t="s">
        <v>46</v>
      </c>
      <c r="F818" s="11">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855</v>
      </c>
      <c r="C819" t="s">
        <v>18</v>
      </c>
      <c r="D819">
        <v>63</v>
      </c>
      <c r="E819" s="10" t="s">
        <v>17</v>
      </c>
      <c r="F819" s="11">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856</v>
      </c>
      <c r="C820" t="s">
        <v>54</v>
      </c>
      <c r="D820">
        <v>59</v>
      </c>
      <c r="E820" s="10" t="s">
        <v>46</v>
      </c>
      <c r="F820" s="11">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857</v>
      </c>
      <c r="C821" t="s">
        <v>54</v>
      </c>
      <c r="D821">
        <v>90</v>
      </c>
      <c r="E821" s="10" t="s">
        <v>27</v>
      </c>
      <c r="F821" s="11">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858</v>
      </c>
      <c r="C822" t="s">
        <v>45</v>
      </c>
      <c r="D822">
        <v>55</v>
      </c>
      <c r="E822" s="10" t="s">
        <v>27</v>
      </c>
      <c r="F822" s="11">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859</v>
      </c>
      <c r="C823" t="s">
        <v>30</v>
      </c>
      <c r="D823">
        <v>84</v>
      </c>
      <c r="E823" s="10" t="s">
        <v>40</v>
      </c>
      <c r="F823" s="11">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860</v>
      </c>
      <c r="C824" t="s">
        <v>30</v>
      </c>
      <c r="D824">
        <v>150</v>
      </c>
      <c r="E824" s="10" t="s">
        <v>33</v>
      </c>
      <c r="F824" s="11">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861</v>
      </c>
      <c r="C825" t="s">
        <v>41</v>
      </c>
      <c r="D825">
        <v>69</v>
      </c>
      <c r="E825" s="10" t="s">
        <v>46</v>
      </c>
      <c r="F825" s="11">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862</v>
      </c>
      <c r="C826" t="s">
        <v>16</v>
      </c>
      <c r="D826">
        <v>120</v>
      </c>
      <c r="E826" s="10" t="s">
        <v>27</v>
      </c>
      <c r="F826" s="11">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863</v>
      </c>
      <c r="C827" t="s">
        <v>26</v>
      </c>
      <c r="D827">
        <v>126</v>
      </c>
      <c r="E827" s="10" t="s">
        <v>40</v>
      </c>
      <c r="F827" s="11">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864</v>
      </c>
      <c r="C828" t="s">
        <v>41</v>
      </c>
      <c r="D828">
        <v>120</v>
      </c>
      <c r="E828" s="10" t="s">
        <v>17</v>
      </c>
      <c r="F828" s="11">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865</v>
      </c>
      <c r="C829" t="s">
        <v>26</v>
      </c>
      <c r="D829">
        <v>139</v>
      </c>
      <c r="E829" s="10" t="s">
        <v>27</v>
      </c>
      <c r="F829" s="11">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866</v>
      </c>
      <c r="C830" t="s">
        <v>45</v>
      </c>
      <c r="D830">
        <v>124</v>
      </c>
      <c r="E830" s="10" t="s">
        <v>46</v>
      </c>
      <c r="F830" s="11">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867</v>
      </c>
      <c r="C831" t="s">
        <v>16</v>
      </c>
      <c r="D831">
        <v>108</v>
      </c>
      <c r="E831" s="10" t="s">
        <v>17</v>
      </c>
      <c r="F831" s="11">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868</v>
      </c>
      <c r="C832" t="s">
        <v>22</v>
      </c>
      <c r="D832">
        <v>132</v>
      </c>
      <c r="E832" s="10" t="s">
        <v>33</v>
      </c>
      <c r="F832" s="11">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869</v>
      </c>
      <c r="C833" t="s">
        <v>18</v>
      </c>
      <c r="D833">
        <v>67</v>
      </c>
      <c r="E833" s="10" t="s">
        <v>33</v>
      </c>
      <c r="F833" s="11">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870</v>
      </c>
      <c r="C834" t="s">
        <v>37</v>
      </c>
      <c r="D834">
        <v>125</v>
      </c>
      <c r="E834" s="10" t="s">
        <v>33</v>
      </c>
      <c r="F834" s="11">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871</v>
      </c>
      <c r="C835" t="s">
        <v>16</v>
      </c>
      <c r="D835">
        <v>23</v>
      </c>
      <c r="E835" s="10" t="s">
        <v>17</v>
      </c>
      <c r="F835" s="11">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872</v>
      </c>
      <c r="C836" t="s">
        <v>32</v>
      </c>
      <c r="D836">
        <v>131</v>
      </c>
      <c r="E836" s="10" t="s">
        <v>46</v>
      </c>
      <c r="F836" s="11">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873</v>
      </c>
      <c r="C837" t="s">
        <v>22</v>
      </c>
      <c r="D837">
        <v>56</v>
      </c>
      <c r="E837" s="10" t="s">
        <v>27</v>
      </c>
      <c r="F837" s="11">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874</v>
      </c>
      <c r="C838" t="s">
        <v>32</v>
      </c>
      <c r="D838">
        <v>70</v>
      </c>
      <c r="E838" s="10" t="s">
        <v>46</v>
      </c>
      <c r="F838" s="11">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875</v>
      </c>
      <c r="C839" t="s">
        <v>32</v>
      </c>
      <c r="D839">
        <v>55</v>
      </c>
      <c r="E839" s="10" t="s">
        <v>33</v>
      </c>
      <c r="F839" s="11">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876</v>
      </c>
      <c r="C840" t="s">
        <v>37</v>
      </c>
      <c r="D840">
        <v>77</v>
      </c>
      <c r="E840" s="10" t="s">
        <v>27</v>
      </c>
      <c r="F840" s="11">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877</v>
      </c>
      <c r="C841" t="s">
        <v>30</v>
      </c>
      <c r="D841">
        <v>133</v>
      </c>
      <c r="E841" s="10" t="s">
        <v>46</v>
      </c>
      <c r="F841" s="11">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878</v>
      </c>
      <c r="C842" t="s">
        <v>37</v>
      </c>
      <c r="D842">
        <v>77</v>
      </c>
      <c r="E842" s="10" t="s">
        <v>27</v>
      </c>
      <c r="F842" s="11">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879</v>
      </c>
      <c r="C843" t="s">
        <v>54</v>
      </c>
      <c r="D843">
        <v>103</v>
      </c>
      <c r="E843" s="10" t="s">
        <v>46</v>
      </c>
      <c r="F843" s="11">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880</v>
      </c>
      <c r="C844" t="s">
        <v>41</v>
      </c>
      <c r="D844">
        <v>32</v>
      </c>
      <c r="E844" s="10" t="s">
        <v>27</v>
      </c>
      <c r="F844" s="11">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881</v>
      </c>
      <c r="C845" t="s">
        <v>30</v>
      </c>
      <c r="D845">
        <v>30</v>
      </c>
      <c r="E845" s="10" t="s">
        <v>46</v>
      </c>
      <c r="F845" s="11">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882</v>
      </c>
      <c r="C846" t="s">
        <v>26</v>
      </c>
      <c r="D846">
        <v>87</v>
      </c>
      <c r="E846" s="10" t="s">
        <v>40</v>
      </c>
      <c r="F846" s="11">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883</v>
      </c>
      <c r="C847" t="s">
        <v>37</v>
      </c>
      <c r="D847">
        <v>137</v>
      </c>
      <c r="E847" s="10" t="s">
        <v>17</v>
      </c>
      <c r="F847" s="11">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884</v>
      </c>
      <c r="C848" t="s">
        <v>49</v>
      </c>
      <c r="D848">
        <v>96</v>
      </c>
      <c r="E848" s="10" t="s">
        <v>46</v>
      </c>
      <c r="F848" s="11">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885</v>
      </c>
      <c r="C849" t="s">
        <v>45</v>
      </c>
      <c r="D849">
        <v>155</v>
      </c>
      <c r="E849" s="10" t="s">
        <v>46</v>
      </c>
      <c r="F849" s="11">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886</v>
      </c>
      <c r="C850" t="s">
        <v>30</v>
      </c>
      <c r="D850">
        <v>173</v>
      </c>
      <c r="E850" s="10" t="s">
        <v>33</v>
      </c>
      <c r="F850" s="11">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887</v>
      </c>
      <c r="C851" t="s">
        <v>45</v>
      </c>
      <c r="D851">
        <v>127</v>
      </c>
      <c r="E851" s="10" t="s">
        <v>46</v>
      </c>
      <c r="F851" s="11">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888</v>
      </c>
      <c r="C852" t="s">
        <v>22</v>
      </c>
      <c r="D852">
        <v>117</v>
      </c>
      <c r="E852" s="10" t="s">
        <v>33</v>
      </c>
      <c r="F852" s="11">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889</v>
      </c>
      <c r="C853" t="s">
        <v>16</v>
      </c>
      <c r="D853">
        <v>133</v>
      </c>
      <c r="E853" s="10" t="s">
        <v>27</v>
      </c>
      <c r="F853" s="11">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890</v>
      </c>
      <c r="C854" t="s">
        <v>23</v>
      </c>
      <c r="D854">
        <v>166</v>
      </c>
      <c r="E854" s="10" t="s">
        <v>40</v>
      </c>
      <c r="F854" s="11">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891</v>
      </c>
      <c r="C855" t="s">
        <v>16</v>
      </c>
      <c r="D855">
        <v>50</v>
      </c>
      <c r="E855" s="10" t="s">
        <v>33</v>
      </c>
      <c r="F855" s="11">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892</v>
      </c>
      <c r="C856" t="s">
        <v>54</v>
      </c>
      <c r="D856">
        <v>43</v>
      </c>
      <c r="E856" s="10" t="s">
        <v>27</v>
      </c>
      <c r="F856" s="11">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893</v>
      </c>
      <c r="C857" t="s">
        <v>49</v>
      </c>
      <c r="D857">
        <v>124</v>
      </c>
      <c r="E857" s="10" t="s">
        <v>46</v>
      </c>
      <c r="F857" s="11">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894</v>
      </c>
      <c r="C858" t="s">
        <v>30</v>
      </c>
      <c r="D858">
        <v>94</v>
      </c>
      <c r="E858" s="10" t="s">
        <v>46</v>
      </c>
      <c r="F858" s="11">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895</v>
      </c>
      <c r="C859" t="s">
        <v>54</v>
      </c>
      <c r="D859">
        <v>126</v>
      </c>
      <c r="E859" s="10" t="s">
        <v>40</v>
      </c>
      <c r="F859" s="11">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896</v>
      </c>
      <c r="C860" t="s">
        <v>23</v>
      </c>
      <c r="D860">
        <v>105</v>
      </c>
      <c r="E860" s="10" t="s">
        <v>33</v>
      </c>
      <c r="F860" s="11">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897</v>
      </c>
      <c r="C861" t="s">
        <v>32</v>
      </c>
      <c r="D861">
        <v>60</v>
      </c>
      <c r="E861" s="10" t="s">
        <v>17</v>
      </c>
      <c r="F861" s="11">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898</v>
      </c>
      <c r="C862" t="s">
        <v>32</v>
      </c>
      <c r="D862">
        <v>72</v>
      </c>
      <c r="E862" s="10" t="s">
        <v>33</v>
      </c>
      <c r="F862" s="11">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899</v>
      </c>
      <c r="C863" t="s">
        <v>50</v>
      </c>
      <c r="D863">
        <v>40</v>
      </c>
      <c r="E863" s="10" t="s">
        <v>33</v>
      </c>
      <c r="F863" s="11">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900</v>
      </c>
      <c r="C864" t="s">
        <v>41</v>
      </c>
      <c r="D864">
        <v>54</v>
      </c>
      <c r="E864" s="10" t="s">
        <v>40</v>
      </c>
      <c r="F864" s="11">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901</v>
      </c>
      <c r="C865" t="s">
        <v>22</v>
      </c>
      <c r="D865">
        <v>81</v>
      </c>
      <c r="E865" s="10" t="s">
        <v>27</v>
      </c>
      <c r="F865" s="11">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902</v>
      </c>
      <c r="C866" t="s">
        <v>41</v>
      </c>
      <c r="D866">
        <v>76</v>
      </c>
      <c r="E866" s="10" t="s">
        <v>46</v>
      </c>
      <c r="F866" s="11">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903</v>
      </c>
      <c r="C867" t="s">
        <v>41</v>
      </c>
      <c r="D867">
        <v>37</v>
      </c>
      <c r="E867" s="10" t="s">
        <v>17</v>
      </c>
      <c r="F867" s="11">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904</v>
      </c>
      <c r="C868" t="s">
        <v>23</v>
      </c>
      <c r="D868">
        <v>96</v>
      </c>
      <c r="E868" s="10" t="s">
        <v>40</v>
      </c>
      <c r="F868" s="11">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905</v>
      </c>
      <c r="C869" t="s">
        <v>32</v>
      </c>
      <c r="D869">
        <v>19</v>
      </c>
      <c r="E869" s="10" t="s">
        <v>46</v>
      </c>
      <c r="F869" s="11">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906</v>
      </c>
      <c r="C870" t="s">
        <v>50</v>
      </c>
      <c r="D870">
        <v>72</v>
      </c>
      <c r="E870" s="10" t="s">
        <v>17</v>
      </c>
      <c r="F870" s="11">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907</v>
      </c>
      <c r="C871" t="s">
        <v>30</v>
      </c>
      <c r="D871">
        <v>73</v>
      </c>
      <c r="E871" s="10" t="s">
        <v>27</v>
      </c>
      <c r="F871" s="11">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908</v>
      </c>
      <c r="C872" t="s">
        <v>18</v>
      </c>
      <c r="D872">
        <v>87</v>
      </c>
      <c r="E872" s="10" t="s">
        <v>27</v>
      </c>
      <c r="F872" s="11">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909</v>
      </c>
      <c r="C873" t="s">
        <v>18</v>
      </c>
      <c r="D873">
        <v>68</v>
      </c>
      <c r="E873" s="10" t="s">
        <v>27</v>
      </c>
      <c r="F873" s="11">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910</v>
      </c>
      <c r="C874" t="s">
        <v>50</v>
      </c>
      <c r="D874">
        <v>101</v>
      </c>
      <c r="E874" s="10" t="s">
        <v>27</v>
      </c>
      <c r="F874" s="11">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911</v>
      </c>
      <c r="C875" t="s">
        <v>50</v>
      </c>
      <c r="D875">
        <v>107</v>
      </c>
      <c r="E875" s="10" t="s">
        <v>17</v>
      </c>
      <c r="F875" s="11">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912</v>
      </c>
      <c r="C876" t="s">
        <v>43</v>
      </c>
      <c r="D876">
        <v>109</v>
      </c>
      <c r="E876" s="10" t="s">
        <v>33</v>
      </c>
      <c r="F876" s="11">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913</v>
      </c>
      <c r="C877" t="s">
        <v>49</v>
      </c>
      <c r="D877">
        <v>171</v>
      </c>
      <c r="E877" s="10" t="s">
        <v>17</v>
      </c>
      <c r="F877" s="11">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914</v>
      </c>
      <c r="C878" t="s">
        <v>32</v>
      </c>
      <c r="D878">
        <v>21</v>
      </c>
      <c r="E878" s="10" t="s">
        <v>17</v>
      </c>
      <c r="F878" s="11">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915</v>
      </c>
      <c r="C879" t="s">
        <v>22</v>
      </c>
      <c r="D879">
        <v>94</v>
      </c>
      <c r="E879" s="10" t="s">
        <v>17</v>
      </c>
      <c r="F879" s="11">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916</v>
      </c>
      <c r="C880" t="s">
        <v>30</v>
      </c>
      <c r="D880">
        <v>97</v>
      </c>
      <c r="E880" s="10" t="s">
        <v>33</v>
      </c>
      <c r="F880" s="11">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917</v>
      </c>
      <c r="C881" t="s">
        <v>23</v>
      </c>
      <c r="D881">
        <v>72</v>
      </c>
      <c r="E881" s="10" t="s">
        <v>33</v>
      </c>
      <c r="F881" s="11">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918</v>
      </c>
      <c r="C882" t="s">
        <v>49</v>
      </c>
      <c r="D882">
        <v>143</v>
      </c>
      <c r="E882" s="10" t="s">
        <v>40</v>
      </c>
      <c r="F882" s="11">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919</v>
      </c>
      <c r="C883" t="s">
        <v>49</v>
      </c>
      <c r="D883">
        <v>64</v>
      </c>
      <c r="E883" s="10" t="s">
        <v>33</v>
      </c>
      <c r="F883" s="11">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920</v>
      </c>
      <c r="C884" t="s">
        <v>49</v>
      </c>
      <c r="D884">
        <v>69</v>
      </c>
      <c r="E884" s="10" t="s">
        <v>33</v>
      </c>
      <c r="F884" s="11">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921</v>
      </c>
      <c r="C885" t="s">
        <v>49</v>
      </c>
      <c r="D885">
        <v>18</v>
      </c>
      <c r="E885" s="10" t="s">
        <v>46</v>
      </c>
      <c r="F885" s="11">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922</v>
      </c>
      <c r="C886" t="s">
        <v>30</v>
      </c>
      <c r="D886">
        <v>100</v>
      </c>
      <c r="E886" s="10" t="s">
        <v>40</v>
      </c>
      <c r="F886" s="11">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923</v>
      </c>
      <c r="C887" t="s">
        <v>45</v>
      </c>
      <c r="D887">
        <v>110</v>
      </c>
      <c r="E887" s="10" t="s">
        <v>27</v>
      </c>
      <c r="F887" s="11">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924</v>
      </c>
      <c r="C888" t="s">
        <v>35</v>
      </c>
      <c r="D888">
        <v>41</v>
      </c>
      <c r="E888" s="10" t="s">
        <v>17</v>
      </c>
      <c r="F888" s="11">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925</v>
      </c>
      <c r="C889" t="s">
        <v>45</v>
      </c>
      <c r="D889">
        <v>147</v>
      </c>
      <c r="E889" s="10" t="s">
        <v>27</v>
      </c>
      <c r="F889" s="11">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926</v>
      </c>
      <c r="C890" t="s">
        <v>22</v>
      </c>
      <c r="D890">
        <v>31</v>
      </c>
      <c r="E890" s="10" t="s">
        <v>46</v>
      </c>
      <c r="F890" s="11">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927</v>
      </c>
      <c r="C891" t="s">
        <v>18</v>
      </c>
      <c r="D891">
        <v>142</v>
      </c>
      <c r="E891" s="10" t="s">
        <v>17</v>
      </c>
      <c r="F891" s="11">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928</v>
      </c>
      <c r="C892" t="s">
        <v>43</v>
      </c>
      <c r="D892">
        <v>61</v>
      </c>
      <c r="E892" s="10" t="s">
        <v>17</v>
      </c>
      <c r="F892" s="11">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929</v>
      </c>
      <c r="C893" t="s">
        <v>16</v>
      </c>
      <c r="D893">
        <v>86</v>
      </c>
      <c r="E893" s="10" t="s">
        <v>46</v>
      </c>
      <c r="F893" s="11">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930</v>
      </c>
      <c r="C894" t="s">
        <v>26</v>
      </c>
      <c r="D894">
        <v>165</v>
      </c>
      <c r="E894" s="10" t="s">
        <v>40</v>
      </c>
      <c r="F894" s="11">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931</v>
      </c>
      <c r="C895" t="s">
        <v>41</v>
      </c>
      <c r="D895">
        <v>62</v>
      </c>
      <c r="E895" s="10" t="s">
        <v>27</v>
      </c>
      <c r="F895" s="11">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932</v>
      </c>
      <c r="C896" t="s">
        <v>30</v>
      </c>
      <c r="D896">
        <v>103</v>
      </c>
      <c r="E896" s="10" t="s">
        <v>40</v>
      </c>
      <c r="F896" s="11">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933</v>
      </c>
      <c r="C897" t="s">
        <v>18</v>
      </c>
      <c r="D897">
        <v>56</v>
      </c>
      <c r="E897" s="10" t="s">
        <v>46</v>
      </c>
      <c r="F897" s="11">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934</v>
      </c>
      <c r="C898" t="s">
        <v>50</v>
      </c>
      <c r="D898">
        <v>114</v>
      </c>
      <c r="E898" s="10" t="s">
        <v>17</v>
      </c>
      <c r="F898" s="11">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935</v>
      </c>
      <c r="C899" t="s">
        <v>18</v>
      </c>
      <c r="D899">
        <v>112</v>
      </c>
      <c r="E899" s="10" t="s">
        <v>33</v>
      </c>
      <c r="F899" s="11">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936</v>
      </c>
      <c r="C900" t="s">
        <v>37</v>
      </c>
      <c r="D900">
        <v>52</v>
      </c>
      <c r="E900" s="10" t="s">
        <v>27</v>
      </c>
      <c r="F900" s="11">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937</v>
      </c>
      <c r="C901" t="s">
        <v>30</v>
      </c>
      <c r="D901">
        <v>105</v>
      </c>
      <c r="E901" s="10" t="s">
        <v>40</v>
      </c>
      <c r="F901" s="11">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938</v>
      </c>
      <c r="C902" t="s">
        <v>26</v>
      </c>
      <c r="D902">
        <v>91</v>
      </c>
      <c r="E902" s="10" t="s">
        <v>46</v>
      </c>
      <c r="F902" s="11">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939</v>
      </c>
      <c r="C903" t="s">
        <v>54</v>
      </c>
      <c r="D903">
        <v>74</v>
      </c>
      <c r="E903" s="10" t="s">
        <v>17</v>
      </c>
      <c r="F903" s="11">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940</v>
      </c>
      <c r="C904" t="s">
        <v>54</v>
      </c>
      <c r="D904">
        <v>30</v>
      </c>
      <c r="E904" s="10" t="s">
        <v>46</v>
      </c>
      <c r="F904" s="11">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941</v>
      </c>
      <c r="C905" t="s">
        <v>26</v>
      </c>
      <c r="D905">
        <v>56</v>
      </c>
      <c r="E905" s="10" t="s">
        <v>27</v>
      </c>
      <c r="F905" s="11">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942</v>
      </c>
      <c r="C906" t="s">
        <v>54</v>
      </c>
      <c r="D906">
        <v>151</v>
      </c>
      <c r="E906" s="10" t="s">
        <v>33</v>
      </c>
      <c r="F906" s="11">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943</v>
      </c>
      <c r="C907" t="s">
        <v>22</v>
      </c>
      <c r="D907">
        <v>108</v>
      </c>
      <c r="E907" s="10" t="s">
        <v>40</v>
      </c>
      <c r="F907" s="11">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944</v>
      </c>
      <c r="C908" t="s">
        <v>50</v>
      </c>
      <c r="D908">
        <v>124</v>
      </c>
      <c r="E908" s="10" t="s">
        <v>17</v>
      </c>
      <c r="F908" s="11">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945</v>
      </c>
      <c r="C909" t="s">
        <v>30</v>
      </c>
      <c r="D909">
        <v>110</v>
      </c>
      <c r="E909" s="10" t="s">
        <v>27</v>
      </c>
      <c r="F909" s="11">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946</v>
      </c>
      <c r="C910" t="s">
        <v>45</v>
      </c>
      <c r="D910">
        <v>89</v>
      </c>
      <c r="E910" s="10" t="s">
        <v>40</v>
      </c>
      <c r="F910" s="11">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947</v>
      </c>
      <c r="C911" t="s">
        <v>16</v>
      </c>
      <c r="D911">
        <v>95</v>
      </c>
      <c r="E911" s="10" t="s">
        <v>27</v>
      </c>
      <c r="F911" s="11">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948</v>
      </c>
      <c r="C912" t="s">
        <v>54</v>
      </c>
      <c r="D912">
        <v>84</v>
      </c>
      <c r="E912" s="10" t="s">
        <v>40</v>
      </c>
      <c r="F912" s="11">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949</v>
      </c>
      <c r="C913" t="s">
        <v>23</v>
      </c>
      <c r="D913">
        <v>89</v>
      </c>
      <c r="E913" s="10" t="s">
        <v>17</v>
      </c>
      <c r="F913" s="11">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950</v>
      </c>
      <c r="C914" t="s">
        <v>45</v>
      </c>
      <c r="D914">
        <v>146</v>
      </c>
      <c r="E914" s="10" t="s">
        <v>17</v>
      </c>
      <c r="F914" s="11">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951</v>
      </c>
      <c r="C915" t="s">
        <v>49</v>
      </c>
      <c r="D915">
        <v>62</v>
      </c>
      <c r="E915" s="10" t="s">
        <v>46</v>
      </c>
      <c r="F915" s="11">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952</v>
      </c>
      <c r="C916" t="s">
        <v>18</v>
      </c>
      <c r="D916">
        <v>82</v>
      </c>
      <c r="E916" s="10" t="s">
        <v>17</v>
      </c>
      <c r="F916" s="11">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953</v>
      </c>
      <c r="C917" t="s">
        <v>43</v>
      </c>
      <c r="D917">
        <v>91</v>
      </c>
      <c r="E917" s="10" t="s">
        <v>33</v>
      </c>
      <c r="F917" s="11">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954</v>
      </c>
      <c r="C918" t="s">
        <v>23</v>
      </c>
      <c r="D918">
        <v>39</v>
      </c>
      <c r="E918" s="10" t="s">
        <v>17</v>
      </c>
      <c r="F918" s="11">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955</v>
      </c>
      <c r="C919" t="s">
        <v>45</v>
      </c>
      <c r="D919">
        <v>149</v>
      </c>
      <c r="E919" s="10" t="s">
        <v>27</v>
      </c>
      <c r="F919" s="11">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956</v>
      </c>
      <c r="C920" t="s">
        <v>18</v>
      </c>
      <c r="D920">
        <v>138</v>
      </c>
      <c r="E920" s="10" t="s">
        <v>46</v>
      </c>
      <c r="F920" s="11">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957</v>
      </c>
      <c r="C921" t="s">
        <v>49</v>
      </c>
      <c r="D921">
        <v>113</v>
      </c>
      <c r="E921" s="10" t="s">
        <v>27</v>
      </c>
      <c r="F921" s="11">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958</v>
      </c>
      <c r="C922" t="s">
        <v>32</v>
      </c>
      <c r="D922">
        <v>88</v>
      </c>
      <c r="E922" s="10" t="s">
        <v>17</v>
      </c>
      <c r="F922" s="11">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959</v>
      </c>
      <c r="C923" t="s">
        <v>16</v>
      </c>
      <c r="D923">
        <v>64</v>
      </c>
      <c r="E923" s="10" t="s">
        <v>46</v>
      </c>
      <c r="F923" s="11">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960</v>
      </c>
      <c r="C924" t="s">
        <v>26</v>
      </c>
      <c r="D924">
        <v>53</v>
      </c>
      <c r="E924" s="10" t="s">
        <v>46</v>
      </c>
      <c r="F924" s="11">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961</v>
      </c>
      <c r="C925" t="s">
        <v>50</v>
      </c>
      <c r="D925">
        <v>63</v>
      </c>
      <c r="E925" s="10" t="s">
        <v>27</v>
      </c>
      <c r="F925" s="11">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962</v>
      </c>
      <c r="C926" t="s">
        <v>37</v>
      </c>
      <c r="D926">
        <v>54</v>
      </c>
      <c r="E926" s="10" t="s">
        <v>27</v>
      </c>
      <c r="F926" s="11">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963</v>
      </c>
      <c r="C927" t="s">
        <v>50</v>
      </c>
      <c r="D927">
        <v>54</v>
      </c>
      <c r="E927" s="10" t="s">
        <v>17</v>
      </c>
      <c r="F927" s="11">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964</v>
      </c>
      <c r="C928" t="s">
        <v>45</v>
      </c>
      <c r="D928">
        <v>71</v>
      </c>
      <c r="E928" s="10" t="s">
        <v>46</v>
      </c>
      <c r="F928" s="11">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965</v>
      </c>
      <c r="C929" t="s">
        <v>50</v>
      </c>
      <c r="D929">
        <v>93</v>
      </c>
      <c r="E929" s="10" t="s">
        <v>17</v>
      </c>
      <c r="F929" s="11">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966</v>
      </c>
      <c r="C930" t="s">
        <v>30</v>
      </c>
      <c r="D930">
        <v>96</v>
      </c>
      <c r="E930" s="10" t="s">
        <v>27</v>
      </c>
      <c r="F930" s="11">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967</v>
      </c>
      <c r="C931" t="s">
        <v>23</v>
      </c>
      <c r="D931">
        <v>31</v>
      </c>
      <c r="E931" s="10" t="s">
        <v>33</v>
      </c>
      <c r="F931" s="11">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968</v>
      </c>
      <c r="C932" t="s">
        <v>50</v>
      </c>
      <c r="D932">
        <v>107</v>
      </c>
      <c r="E932" s="10" t="s">
        <v>46</v>
      </c>
      <c r="F932" s="11">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969</v>
      </c>
      <c r="C933" t="s">
        <v>26</v>
      </c>
      <c r="D933">
        <v>50</v>
      </c>
      <c r="E933" s="10" t="s">
        <v>33</v>
      </c>
      <c r="F933" s="11">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970</v>
      </c>
      <c r="C934" t="s">
        <v>18</v>
      </c>
      <c r="D934">
        <v>69</v>
      </c>
      <c r="E934" s="10" t="s">
        <v>46</v>
      </c>
      <c r="F934" s="11">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971</v>
      </c>
      <c r="C935" t="s">
        <v>32</v>
      </c>
      <c r="D935">
        <v>26</v>
      </c>
      <c r="E935" s="10" t="s">
        <v>27</v>
      </c>
      <c r="F935" s="11">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972</v>
      </c>
      <c r="C936" t="s">
        <v>30</v>
      </c>
      <c r="D936">
        <v>158</v>
      </c>
      <c r="E936" s="10" t="s">
        <v>46</v>
      </c>
      <c r="F936" s="11">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973</v>
      </c>
      <c r="C937" t="s">
        <v>37</v>
      </c>
      <c r="D937">
        <v>99</v>
      </c>
      <c r="E937" s="10" t="s">
        <v>46</v>
      </c>
      <c r="F937" s="11">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974</v>
      </c>
      <c r="C938" t="s">
        <v>30</v>
      </c>
      <c r="D938">
        <v>78</v>
      </c>
      <c r="E938" s="10" t="s">
        <v>33</v>
      </c>
      <c r="F938" s="11">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975</v>
      </c>
      <c r="C939" t="s">
        <v>30</v>
      </c>
      <c r="D939">
        <v>102</v>
      </c>
      <c r="E939" s="10" t="s">
        <v>27</v>
      </c>
      <c r="F939" s="11">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976</v>
      </c>
      <c r="C940" t="s">
        <v>37</v>
      </c>
      <c r="D940">
        <v>158</v>
      </c>
      <c r="E940" s="10" t="s">
        <v>40</v>
      </c>
      <c r="F940" s="11">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977</v>
      </c>
      <c r="C941" t="s">
        <v>23</v>
      </c>
      <c r="D941">
        <v>56</v>
      </c>
      <c r="E941" s="10" t="s">
        <v>46</v>
      </c>
      <c r="F941" s="11">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978</v>
      </c>
      <c r="C942" t="s">
        <v>22</v>
      </c>
      <c r="D942">
        <v>17</v>
      </c>
      <c r="E942" s="10" t="s">
        <v>17</v>
      </c>
      <c r="F942" s="11">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979</v>
      </c>
      <c r="C943" t="s">
        <v>32</v>
      </c>
      <c r="D943">
        <v>104</v>
      </c>
      <c r="E943" s="10" t="s">
        <v>40</v>
      </c>
      <c r="F943" s="11">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980</v>
      </c>
      <c r="C944" t="s">
        <v>54</v>
      </c>
      <c r="D944">
        <v>96</v>
      </c>
      <c r="E944" s="10" t="s">
        <v>33</v>
      </c>
      <c r="F944" s="11">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981</v>
      </c>
      <c r="C945" t="s">
        <v>43</v>
      </c>
      <c r="D945">
        <v>83</v>
      </c>
      <c r="E945" s="10" t="s">
        <v>27</v>
      </c>
      <c r="F945" s="11">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982</v>
      </c>
      <c r="C946" t="s">
        <v>26</v>
      </c>
      <c r="D946">
        <v>80</v>
      </c>
      <c r="E946" s="10" t="s">
        <v>17</v>
      </c>
      <c r="F946" s="11">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983</v>
      </c>
      <c r="C947" t="s">
        <v>43</v>
      </c>
      <c r="D947">
        <v>152</v>
      </c>
      <c r="E947" s="10" t="s">
        <v>27</v>
      </c>
      <c r="F947" s="11">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984</v>
      </c>
      <c r="C948" t="s">
        <v>45</v>
      </c>
      <c r="D948">
        <v>34</v>
      </c>
      <c r="E948" s="10" t="s">
        <v>33</v>
      </c>
      <c r="F948" s="11">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985</v>
      </c>
      <c r="C949" t="s">
        <v>49</v>
      </c>
      <c r="D949">
        <v>2</v>
      </c>
      <c r="E949" s="10" t="s">
        <v>46</v>
      </c>
      <c r="F949" s="11">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986</v>
      </c>
      <c r="C950" t="s">
        <v>26</v>
      </c>
      <c r="D950">
        <v>140</v>
      </c>
      <c r="E950" s="10" t="s">
        <v>33</v>
      </c>
      <c r="F950" s="11">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987</v>
      </c>
      <c r="C951" t="s">
        <v>22</v>
      </c>
      <c r="D951">
        <v>126</v>
      </c>
      <c r="E951" s="10" t="s">
        <v>40</v>
      </c>
      <c r="F951" s="11">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988</v>
      </c>
      <c r="C952" t="s">
        <v>30</v>
      </c>
      <c r="D952">
        <v>79</v>
      </c>
      <c r="E952" s="10" t="s">
        <v>46</v>
      </c>
      <c r="F952" s="11">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989</v>
      </c>
      <c r="C953" t="s">
        <v>22</v>
      </c>
      <c r="D953">
        <v>133</v>
      </c>
      <c r="E953" s="10" t="s">
        <v>40</v>
      </c>
      <c r="F953" s="11">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990</v>
      </c>
      <c r="C954" t="s">
        <v>45</v>
      </c>
      <c r="D954">
        <v>97</v>
      </c>
      <c r="E954" s="10" t="s">
        <v>17</v>
      </c>
      <c r="F954" s="11">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991</v>
      </c>
      <c r="C955" t="s">
        <v>30</v>
      </c>
      <c r="D955">
        <v>102</v>
      </c>
      <c r="E955" s="10" t="s">
        <v>27</v>
      </c>
      <c r="F955" s="11">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992</v>
      </c>
      <c r="C956" t="s">
        <v>35</v>
      </c>
      <c r="D956">
        <v>62</v>
      </c>
      <c r="E956" s="10" t="s">
        <v>17</v>
      </c>
      <c r="F956" s="11">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993</v>
      </c>
      <c r="C957" t="s">
        <v>22</v>
      </c>
      <c r="D957">
        <v>149</v>
      </c>
      <c r="E957" s="10" t="s">
        <v>27</v>
      </c>
      <c r="F957" s="11">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994</v>
      </c>
      <c r="C958" t="s">
        <v>49</v>
      </c>
      <c r="D958">
        <v>133</v>
      </c>
      <c r="E958" s="10" t="s">
        <v>17</v>
      </c>
      <c r="F958" s="11">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995</v>
      </c>
      <c r="C959" t="s">
        <v>30</v>
      </c>
      <c r="D959">
        <v>51</v>
      </c>
      <c r="E959" s="10" t="s">
        <v>46</v>
      </c>
      <c r="F959" s="11">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996</v>
      </c>
      <c r="C960" t="s">
        <v>35</v>
      </c>
      <c r="D960">
        <v>110</v>
      </c>
      <c r="E960" s="10" t="s">
        <v>17</v>
      </c>
      <c r="F960" s="11">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997</v>
      </c>
      <c r="C961" t="s">
        <v>45</v>
      </c>
      <c r="D961">
        <v>38</v>
      </c>
      <c r="E961" s="10" t="s">
        <v>40</v>
      </c>
      <c r="F961" s="11">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998</v>
      </c>
      <c r="C962" t="s">
        <v>49</v>
      </c>
      <c r="D962">
        <v>78</v>
      </c>
      <c r="E962" s="10" t="s">
        <v>40</v>
      </c>
      <c r="F962" s="11">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999</v>
      </c>
      <c r="C963" t="s">
        <v>45</v>
      </c>
      <c r="D963">
        <v>25</v>
      </c>
      <c r="E963" s="10" t="s">
        <v>27</v>
      </c>
      <c r="F963" s="11">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1000</v>
      </c>
      <c r="C964" t="s">
        <v>50</v>
      </c>
      <c r="D964">
        <v>50</v>
      </c>
      <c r="E964" s="10" t="s">
        <v>46</v>
      </c>
      <c r="F964" s="11">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1001</v>
      </c>
      <c r="C965" t="s">
        <v>45</v>
      </c>
      <c r="D965">
        <v>103</v>
      </c>
      <c r="E965" s="10" t="s">
        <v>27</v>
      </c>
      <c r="F965" s="11">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1002</v>
      </c>
      <c r="C966" t="s">
        <v>43</v>
      </c>
      <c r="D966">
        <v>63</v>
      </c>
      <c r="E966" s="10" t="s">
        <v>33</v>
      </c>
      <c r="F966" s="11">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1003</v>
      </c>
      <c r="C967" t="s">
        <v>50</v>
      </c>
      <c r="D967">
        <v>96</v>
      </c>
      <c r="E967" s="10" t="s">
        <v>46</v>
      </c>
      <c r="F967" s="11">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1004</v>
      </c>
      <c r="C968" t="s">
        <v>26</v>
      </c>
      <c r="D968">
        <v>94</v>
      </c>
      <c r="E968" s="10" t="s">
        <v>27</v>
      </c>
      <c r="F968" s="11">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1005</v>
      </c>
      <c r="C969" t="s">
        <v>35</v>
      </c>
      <c r="D969">
        <v>46</v>
      </c>
      <c r="E969" s="10" t="s">
        <v>40</v>
      </c>
      <c r="F969" s="11">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1006</v>
      </c>
      <c r="C970" t="s">
        <v>41</v>
      </c>
      <c r="D970">
        <v>127</v>
      </c>
      <c r="E970" s="10" t="s">
        <v>46</v>
      </c>
      <c r="F970" s="11">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1007</v>
      </c>
      <c r="C971" t="s">
        <v>37</v>
      </c>
      <c r="D971">
        <v>96</v>
      </c>
      <c r="E971" s="10" t="s">
        <v>40</v>
      </c>
      <c r="F971" s="11">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1008</v>
      </c>
      <c r="C972" t="s">
        <v>18</v>
      </c>
      <c r="D972">
        <v>151</v>
      </c>
      <c r="E972" s="10" t="s">
        <v>27</v>
      </c>
      <c r="F972" s="11">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1009</v>
      </c>
      <c r="C973" t="s">
        <v>41</v>
      </c>
      <c r="D973">
        <v>158</v>
      </c>
      <c r="E973" s="10" t="s">
        <v>17</v>
      </c>
      <c r="F973" s="11">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1010</v>
      </c>
      <c r="C974" t="s">
        <v>26</v>
      </c>
      <c r="D974">
        <v>45</v>
      </c>
      <c r="E974" s="10" t="s">
        <v>17</v>
      </c>
      <c r="F974" s="11">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1011</v>
      </c>
      <c r="C975" t="s">
        <v>23</v>
      </c>
      <c r="D975">
        <v>141</v>
      </c>
      <c r="E975" s="10" t="s">
        <v>17</v>
      </c>
      <c r="F975" s="11">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1012</v>
      </c>
      <c r="C976" t="s">
        <v>45</v>
      </c>
      <c r="D976">
        <v>147</v>
      </c>
      <c r="E976" s="10" t="s">
        <v>40</v>
      </c>
      <c r="F976" s="11">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1013</v>
      </c>
      <c r="C977" t="s">
        <v>54</v>
      </c>
      <c r="D977">
        <v>126</v>
      </c>
      <c r="E977" s="10" t="s">
        <v>40</v>
      </c>
      <c r="F977" s="11">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1014</v>
      </c>
      <c r="C978" t="s">
        <v>26</v>
      </c>
      <c r="D978">
        <v>126</v>
      </c>
      <c r="E978" s="10" t="s">
        <v>33</v>
      </c>
      <c r="F978" s="11">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1015</v>
      </c>
      <c r="C979" t="s">
        <v>49</v>
      </c>
      <c r="D979">
        <v>32</v>
      </c>
      <c r="E979" s="10" t="s">
        <v>40</v>
      </c>
      <c r="F979" s="11">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1016</v>
      </c>
      <c r="C980" t="s">
        <v>26</v>
      </c>
      <c r="D980">
        <v>84</v>
      </c>
      <c r="E980" s="10" t="s">
        <v>46</v>
      </c>
      <c r="F980" s="11">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1017</v>
      </c>
      <c r="C981" t="s">
        <v>43</v>
      </c>
      <c r="D981">
        <v>120</v>
      </c>
      <c r="E981" s="10" t="s">
        <v>33</v>
      </c>
      <c r="F981" s="11">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1018</v>
      </c>
      <c r="C982" t="s">
        <v>32</v>
      </c>
      <c r="D982">
        <v>93</v>
      </c>
      <c r="E982" s="10" t="s">
        <v>40</v>
      </c>
      <c r="F982" s="11">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1019</v>
      </c>
      <c r="C983" t="s">
        <v>37</v>
      </c>
      <c r="D983">
        <v>76</v>
      </c>
      <c r="E983" s="10" t="s">
        <v>27</v>
      </c>
      <c r="F983" s="11">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1020</v>
      </c>
      <c r="C984" t="s">
        <v>41</v>
      </c>
      <c r="D984">
        <v>89</v>
      </c>
      <c r="E984" s="10" t="s">
        <v>40</v>
      </c>
      <c r="F984" s="11">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1021</v>
      </c>
      <c r="C985" t="s">
        <v>30</v>
      </c>
      <c r="D985">
        <v>91</v>
      </c>
      <c r="E985" s="10" t="s">
        <v>46</v>
      </c>
      <c r="F985" s="11">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1022</v>
      </c>
      <c r="C986" t="s">
        <v>35</v>
      </c>
      <c r="D986">
        <v>7</v>
      </c>
      <c r="E986" s="10" t="s">
        <v>17</v>
      </c>
      <c r="F986" s="11">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1023</v>
      </c>
      <c r="C987" t="s">
        <v>49</v>
      </c>
      <c r="D987">
        <v>140</v>
      </c>
      <c r="E987" s="10" t="s">
        <v>17</v>
      </c>
      <c r="F987" s="11">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1024</v>
      </c>
      <c r="C988" t="s">
        <v>22</v>
      </c>
      <c r="D988">
        <v>58</v>
      </c>
      <c r="E988" s="10" t="s">
        <v>33</v>
      </c>
      <c r="F988" s="11">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1025</v>
      </c>
      <c r="C989" t="s">
        <v>16</v>
      </c>
      <c r="D989">
        <v>90</v>
      </c>
      <c r="E989" s="10" t="s">
        <v>27</v>
      </c>
      <c r="F989" s="11">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1026</v>
      </c>
      <c r="C990" t="s">
        <v>16</v>
      </c>
      <c r="D990">
        <v>106</v>
      </c>
      <c r="E990" s="10" t="s">
        <v>40</v>
      </c>
      <c r="F990" s="11">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1027</v>
      </c>
      <c r="C991" t="s">
        <v>43</v>
      </c>
      <c r="D991">
        <v>72</v>
      </c>
      <c r="E991" s="10" t="s">
        <v>17</v>
      </c>
      <c r="F991" s="11">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1028</v>
      </c>
      <c r="C992" t="s">
        <v>35</v>
      </c>
      <c r="D992">
        <v>124</v>
      </c>
      <c r="E992" s="10" t="s">
        <v>17</v>
      </c>
      <c r="F992" s="11">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1029</v>
      </c>
      <c r="C993" t="s">
        <v>23</v>
      </c>
      <c r="D993">
        <v>86</v>
      </c>
      <c r="E993" s="10" t="s">
        <v>46</v>
      </c>
      <c r="F993" s="11">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1030</v>
      </c>
      <c r="C994" t="s">
        <v>26</v>
      </c>
      <c r="D994">
        <v>164</v>
      </c>
      <c r="E994" s="10" t="s">
        <v>46</v>
      </c>
      <c r="F994" s="11">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1031</v>
      </c>
      <c r="C995" t="s">
        <v>32</v>
      </c>
      <c r="D995">
        <v>40</v>
      </c>
      <c r="E995" s="10" t="s">
        <v>27</v>
      </c>
      <c r="F995" s="11">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1032</v>
      </c>
      <c r="C996" t="s">
        <v>30</v>
      </c>
      <c r="D996">
        <v>76</v>
      </c>
      <c r="E996" s="10" t="s">
        <v>33</v>
      </c>
      <c r="F996" s="11">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1033</v>
      </c>
      <c r="C997" t="s">
        <v>35</v>
      </c>
      <c r="D997">
        <v>95</v>
      </c>
      <c r="E997" s="10" t="s">
        <v>40</v>
      </c>
      <c r="F997" s="11">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1034</v>
      </c>
      <c r="C998" t="s">
        <v>30</v>
      </c>
      <c r="D998">
        <v>113</v>
      </c>
      <c r="E998" s="10" t="s">
        <v>17</v>
      </c>
      <c r="F998" s="11">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1035</v>
      </c>
      <c r="C999" t="s">
        <v>23</v>
      </c>
      <c r="D999">
        <v>81</v>
      </c>
      <c r="E999" s="10" t="s">
        <v>17</v>
      </c>
      <c r="F999" s="11">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1036</v>
      </c>
      <c r="C1000" t="s">
        <v>37</v>
      </c>
      <c r="D1000">
        <v>127</v>
      </c>
      <c r="E1000" s="10" t="s">
        <v>40</v>
      </c>
      <c r="F1000" s="11">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1037</v>
      </c>
      <c r="C1001" t="s">
        <v>49</v>
      </c>
      <c r="D1001">
        <v>146</v>
      </c>
      <c r="E1001" s="10" t="s">
        <v>17</v>
      </c>
      <c r="F1001" s="11">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1038</v>
      </c>
      <c r="C1002" t="s">
        <v>45</v>
      </c>
      <c r="D1002">
        <v>123</v>
      </c>
      <c r="E1002" s="10" t="s">
        <v>17</v>
      </c>
      <c r="F1002" s="11">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1039</v>
      </c>
      <c r="C1003" t="s">
        <v>43</v>
      </c>
      <c r="D1003">
        <v>114</v>
      </c>
      <c r="E1003" s="10" t="s">
        <v>33</v>
      </c>
      <c r="F1003" s="11">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6706C-347B-4078-962E-E6484D3B8C6A}">
  <dimension ref="A3:J118"/>
  <sheetViews>
    <sheetView topLeftCell="A56" zoomScale="106" workbookViewId="0">
      <selection activeCell="B119" sqref="B119"/>
    </sheetView>
  </sheetViews>
  <sheetFormatPr defaultRowHeight="14.4" x14ac:dyDescent="0.3"/>
  <cols>
    <col min="1" max="1" width="12.19921875" bestFit="1" customWidth="1"/>
    <col min="2" max="2" width="9" bestFit="1" customWidth="1"/>
    <col min="3" max="3" width="9.8984375" bestFit="1" customWidth="1"/>
    <col min="4" max="4" width="9.296875" bestFit="1" customWidth="1"/>
    <col min="5" max="5" width="6.59765625" bestFit="1" customWidth="1"/>
    <col min="6" max="6" width="12.19921875" bestFit="1" customWidth="1"/>
    <col min="7" max="7" width="9" bestFit="1" customWidth="1"/>
    <col min="8" max="8" width="12.19921875" bestFit="1" customWidth="1"/>
    <col min="9" max="9" width="8.796875" customWidth="1"/>
  </cols>
  <sheetData>
    <row r="3" spans="1:5" x14ac:dyDescent="0.3">
      <c r="A3" t="s">
        <v>1040</v>
      </c>
      <c r="B3" t="s">
        <v>1041</v>
      </c>
      <c r="C3" t="s">
        <v>1042</v>
      </c>
      <c r="D3" t="s">
        <v>1043</v>
      </c>
      <c r="E3" t="s">
        <v>1044</v>
      </c>
    </row>
    <row r="4" spans="1:5" x14ac:dyDescent="0.3">
      <c r="A4" s="20">
        <v>1000</v>
      </c>
      <c r="B4" s="21">
        <v>96623</v>
      </c>
      <c r="C4" s="20">
        <v>89850</v>
      </c>
      <c r="D4" s="22">
        <v>3.8854000000000033</v>
      </c>
      <c r="E4" s="20">
        <v>307</v>
      </c>
    </row>
    <row r="11" spans="1:5" x14ac:dyDescent="0.3">
      <c r="A11" t="s">
        <v>1040</v>
      </c>
      <c r="B11" t="s">
        <v>1041</v>
      </c>
      <c r="C11" t="s">
        <v>1042</v>
      </c>
      <c r="D11" t="s">
        <v>1043</v>
      </c>
      <c r="E11" t="s">
        <v>1044</v>
      </c>
    </row>
    <row r="12" spans="1:5" x14ac:dyDescent="0.3">
      <c r="A12" s="20">
        <v>207</v>
      </c>
      <c r="B12" s="45">
        <v>20872</v>
      </c>
      <c r="C12" s="20">
        <v>17700</v>
      </c>
      <c r="D12" s="22">
        <v>3.8589371980676304</v>
      </c>
      <c r="E12" s="20">
        <v>60</v>
      </c>
    </row>
    <row r="38" spans="1:7" x14ac:dyDescent="0.3">
      <c r="A38" s="23" t="s">
        <v>1045</v>
      </c>
      <c r="B38" t="s">
        <v>1040</v>
      </c>
      <c r="C38" t="s">
        <v>1059</v>
      </c>
      <c r="F38" s="23" t="s">
        <v>1045</v>
      </c>
      <c r="G38" t="s">
        <v>1040</v>
      </c>
    </row>
    <row r="39" spans="1:7" x14ac:dyDescent="0.3">
      <c r="A39" s="26" t="s">
        <v>1047</v>
      </c>
      <c r="B39" s="20">
        <v>13</v>
      </c>
      <c r="C39" s="20">
        <v>13</v>
      </c>
      <c r="F39" s="26" t="s">
        <v>1079</v>
      </c>
      <c r="G39" s="20">
        <v>30</v>
      </c>
    </row>
    <row r="40" spans="1:7" x14ac:dyDescent="0.3">
      <c r="A40" s="26" t="s">
        <v>1048</v>
      </c>
      <c r="B40" s="20">
        <v>13</v>
      </c>
      <c r="C40" s="20">
        <v>13</v>
      </c>
      <c r="F40" s="26" t="s">
        <v>1073</v>
      </c>
      <c r="G40" s="20">
        <v>34</v>
      </c>
    </row>
    <row r="41" spans="1:7" x14ac:dyDescent="0.3">
      <c r="A41" s="26" t="s">
        <v>1049</v>
      </c>
      <c r="B41" s="20">
        <v>28</v>
      </c>
      <c r="C41" s="20">
        <v>28</v>
      </c>
      <c r="F41" s="26" t="s">
        <v>1080</v>
      </c>
      <c r="G41" s="20">
        <v>26</v>
      </c>
    </row>
    <row r="42" spans="1:7" x14ac:dyDescent="0.3">
      <c r="A42" s="26" t="s">
        <v>1050</v>
      </c>
      <c r="B42" s="20">
        <v>24</v>
      </c>
      <c r="C42" s="20">
        <v>24</v>
      </c>
      <c r="F42" s="26" t="s">
        <v>1075</v>
      </c>
      <c r="G42" s="20">
        <v>38</v>
      </c>
    </row>
    <row r="43" spans="1:7" x14ac:dyDescent="0.3">
      <c r="A43" s="26" t="s">
        <v>1051</v>
      </c>
      <c r="B43" s="20">
        <v>23</v>
      </c>
      <c r="C43" s="20">
        <v>23</v>
      </c>
      <c r="F43" s="26" t="s">
        <v>1077</v>
      </c>
      <c r="G43" s="20">
        <v>27</v>
      </c>
    </row>
    <row r="44" spans="1:7" x14ac:dyDescent="0.3">
      <c r="A44" s="26" t="s">
        <v>1052</v>
      </c>
      <c r="B44" s="20">
        <v>17</v>
      </c>
      <c r="C44" s="20">
        <v>17</v>
      </c>
      <c r="F44" s="26" t="s">
        <v>1082</v>
      </c>
      <c r="G44" s="20">
        <v>27</v>
      </c>
    </row>
    <row r="45" spans="1:7" x14ac:dyDescent="0.3">
      <c r="A45" s="26" t="s">
        <v>1053</v>
      </c>
      <c r="B45" s="20">
        <v>11</v>
      </c>
      <c r="C45" s="20">
        <v>11</v>
      </c>
      <c r="F45" s="26" t="s">
        <v>1083</v>
      </c>
      <c r="G45" s="20">
        <v>25</v>
      </c>
    </row>
    <row r="46" spans="1:7" x14ac:dyDescent="0.3">
      <c r="A46" s="26" t="s">
        <v>1054</v>
      </c>
      <c r="B46" s="20">
        <v>11</v>
      </c>
      <c r="C46" s="20">
        <v>11</v>
      </c>
      <c r="F46" s="26" t="s">
        <v>1046</v>
      </c>
      <c r="G46" s="20">
        <v>207</v>
      </c>
    </row>
    <row r="47" spans="1:7" x14ac:dyDescent="0.3">
      <c r="A47" s="26" t="s">
        <v>1055</v>
      </c>
      <c r="B47" s="20">
        <v>14</v>
      </c>
      <c r="C47" s="20">
        <v>14</v>
      </c>
    </row>
    <row r="48" spans="1:7" x14ac:dyDescent="0.3">
      <c r="A48" s="26" t="s">
        <v>1056</v>
      </c>
      <c r="B48" s="20">
        <v>30</v>
      </c>
      <c r="C48" s="20">
        <v>30</v>
      </c>
    </row>
    <row r="49" spans="1:10" x14ac:dyDescent="0.3">
      <c r="A49" s="26" t="s">
        <v>1057</v>
      </c>
      <c r="B49" s="20">
        <v>14</v>
      </c>
      <c r="C49" s="20">
        <v>14</v>
      </c>
    </row>
    <row r="50" spans="1:10" x14ac:dyDescent="0.3">
      <c r="A50" s="26" t="s">
        <v>1058</v>
      </c>
      <c r="B50" s="20">
        <v>9</v>
      </c>
      <c r="C50" s="20">
        <v>9</v>
      </c>
    </row>
    <row r="51" spans="1:10" x14ac:dyDescent="0.3">
      <c r="A51" s="26" t="s">
        <v>1046</v>
      </c>
      <c r="B51" s="20">
        <v>207</v>
      </c>
      <c r="C51" s="20">
        <v>207</v>
      </c>
    </row>
    <row r="53" spans="1:10" x14ac:dyDescent="0.3">
      <c r="I53" t="s">
        <v>1091</v>
      </c>
      <c r="J53" t="str">
        <f>A68</f>
        <v>R03</v>
      </c>
    </row>
    <row r="54" spans="1:10" x14ac:dyDescent="0.3">
      <c r="F54" t="s">
        <v>1085</v>
      </c>
    </row>
    <row r="55" spans="1:10" x14ac:dyDescent="0.3">
      <c r="F55" t="s">
        <v>1086</v>
      </c>
      <c r="G55" t="s">
        <v>1087</v>
      </c>
      <c r="H55" t="s">
        <v>1088</v>
      </c>
      <c r="I55" t="s">
        <v>1089</v>
      </c>
      <c r="J55" t="s">
        <v>1090</v>
      </c>
    </row>
    <row r="56" spans="1:10" x14ac:dyDescent="0.3">
      <c r="A56" s="23" t="s">
        <v>1045</v>
      </c>
      <c r="B56" t="s">
        <v>1040</v>
      </c>
      <c r="C56" t="s">
        <v>1041</v>
      </c>
      <c r="F56" t="str" cm="1">
        <f t="array" ref="F56:H60">A57:C61</f>
        <v>R01</v>
      </c>
      <c r="G56">
        <v>189</v>
      </c>
      <c r="H56" s="28">
        <v>18415</v>
      </c>
      <c r="I56" t="e">
        <f>IF(F56=$J$53,G56,NA())</f>
        <v>#N/A</v>
      </c>
      <c r="J56" t="e">
        <f>IF(F56=$J$53,H56,NA())</f>
        <v>#N/A</v>
      </c>
    </row>
    <row r="57" spans="1:10" x14ac:dyDescent="0.3">
      <c r="A57" s="26" t="s">
        <v>33</v>
      </c>
      <c r="B57" s="20">
        <v>189</v>
      </c>
      <c r="C57" s="21">
        <v>18415</v>
      </c>
      <c r="F57" t="str">
        <v>R02</v>
      </c>
      <c r="G57">
        <v>218</v>
      </c>
      <c r="H57" s="28">
        <v>20581</v>
      </c>
      <c r="I57" t="e">
        <f t="shared" ref="I57:I60" si="0">IF(F57=$J$53,G57,NA())</f>
        <v>#N/A</v>
      </c>
      <c r="J57" t="e">
        <f t="shared" ref="J57:J60" si="1">IF(F57=$J$53,H57,NA())</f>
        <v>#N/A</v>
      </c>
    </row>
    <row r="58" spans="1:10" x14ac:dyDescent="0.3">
      <c r="A58" s="26" t="s">
        <v>27</v>
      </c>
      <c r="B58" s="20">
        <v>218</v>
      </c>
      <c r="C58" s="21">
        <v>20581</v>
      </c>
      <c r="F58" t="str">
        <v>R03</v>
      </c>
      <c r="G58">
        <v>207</v>
      </c>
      <c r="H58" s="28">
        <v>20872</v>
      </c>
      <c r="I58">
        <f t="shared" si="0"/>
        <v>207</v>
      </c>
      <c r="J58">
        <f t="shared" si="1"/>
        <v>20872</v>
      </c>
    </row>
    <row r="59" spans="1:10" x14ac:dyDescent="0.3">
      <c r="A59" s="26" t="s">
        <v>46</v>
      </c>
      <c r="B59" s="20">
        <v>207</v>
      </c>
      <c r="C59" s="21">
        <v>20872</v>
      </c>
      <c r="F59" t="str">
        <v>R04</v>
      </c>
      <c r="G59">
        <v>186</v>
      </c>
      <c r="H59" s="28">
        <v>16651</v>
      </c>
      <c r="I59" t="e">
        <f t="shared" si="0"/>
        <v>#N/A</v>
      </c>
      <c r="J59" t="e">
        <f t="shared" si="1"/>
        <v>#N/A</v>
      </c>
    </row>
    <row r="60" spans="1:10" x14ac:dyDescent="0.3">
      <c r="A60" s="26" t="s">
        <v>40</v>
      </c>
      <c r="B60" s="20">
        <v>186</v>
      </c>
      <c r="C60" s="21">
        <v>16651</v>
      </c>
      <c r="F60" t="str">
        <v>R05</v>
      </c>
      <c r="G60">
        <v>200</v>
      </c>
      <c r="H60" s="28">
        <v>20104</v>
      </c>
      <c r="I60" t="e">
        <f t="shared" si="0"/>
        <v>#N/A</v>
      </c>
      <c r="J60" t="e">
        <f t="shared" si="1"/>
        <v>#N/A</v>
      </c>
    </row>
    <row r="61" spans="1:10" x14ac:dyDescent="0.3">
      <c r="A61" s="26" t="s">
        <v>17</v>
      </c>
      <c r="B61" s="20">
        <v>200</v>
      </c>
      <c r="C61" s="21">
        <v>20104</v>
      </c>
    </row>
    <row r="62" spans="1:10" x14ac:dyDescent="0.3">
      <c r="A62" s="26" t="s">
        <v>1046</v>
      </c>
      <c r="B62" s="20">
        <v>1000</v>
      </c>
      <c r="C62" s="21">
        <v>96623</v>
      </c>
    </row>
    <row r="67" spans="1:4" x14ac:dyDescent="0.3">
      <c r="A67" s="23" t="s">
        <v>1045</v>
      </c>
    </row>
    <row r="68" spans="1:4" x14ac:dyDescent="0.3">
      <c r="A68" s="29" t="s">
        <v>46</v>
      </c>
    </row>
    <row r="77" spans="1:4" x14ac:dyDescent="0.3">
      <c r="A77" s="23" t="s">
        <v>1040</v>
      </c>
      <c r="B77" s="23" t="s">
        <v>1092</v>
      </c>
    </row>
    <row r="78" spans="1:4" x14ac:dyDescent="0.3">
      <c r="A78" s="23" t="s">
        <v>1045</v>
      </c>
      <c r="B78" t="s">
        <v>38</v>
      </c>
      <c r="C78" t="s">
        <v>19</v>
      </c>
      <c r="D78" t="s">
        <v>1046</v>
      </c>
    </row>
    <row r="79" spans="1:4" x14ac:dyDescent="0.3">
      <c r="A79" s="26" t="s">
        <v>28</v>
      </c>
      <c r="B79" s="20">
        <v>144</v>
      </c>
      <c r="C79" s="20">
        <v>132</v>
      </c>
      <c r="D79" s="20">
        <v>276</v>
      </c>
    </row>
    <row r="80" spans="1:4" x14ac:dyDescent="0.3">
      <c r="A80" s="26" t="s">
        <v>24</v>
      </c>
      <c r="B80" s="20">
        <v>326</v>
      </c>
      <c r="C80" s="20">
        <v>63</v>
      </c>
      <c r="D80" s="20">
        <v>389</v>
      </c>
    </row>
    <row r="81" spans="1:4" x14ac:dyDescent="0.3">
      <c r="A81" s="26" t="s">
        <v>20</v>
      </c>
      <c r="B81" s="20">
        <v>129</v>
      </c>
      <c r="C81" s="20">
        <v>206</v>
      </c>
      <c r="D81" s="20">
        <v>335</v>
      </c>
    </row>
    <row r="82" spans="1:4" x14ac:dyDescent="0.3">
      <c r="A82" s="26" t="s">
        <v>1046</v>
      </c>
      <c r="B82" s="20">
        <v>599</v>
      </c>
      <c r="C82" s="20">
        <v>401</v>
      </c>
      <c r="D82" s="20">
        <v>1000</v>
      </c>
    </row>
    <row r="89" spans="1:4" x14ac:dyDescent="0.3">
      <c r="A89" s="23" t="s">
        <v>1045</v>
      </c>
      <c r="B89" t="s">
        <v>1040</v>
      </c>
    </row>
    <row r="90" spans="1:4" x14ac:dyDescent="0.3">
      <c r="A90" s="26">
        <v>0</v>
      </c>
      <c r="B90" s="20">
        <v>1</v>
      </c>
    </row>
    <row r="91" spans="1:4" x14ac:dyDescent="0.3">
      <c r="A91" s="26">
        <v>1</v>
      </c>
      <c r="B91" s="20">
        <v>8</v>
      </c>
    </row>
    <row r="92" spans="1:4" x14ac:dyDescent="0.3">
      <c r="A92" s="26">
        <v>2</v>
      </c>
      <c r="B92" s="20">
        <v>59</v>
      </c>
    </row>
    <row r="93" spans="1:4" x14ac:dyDescent="0.3">
      <c r="A93" s="26">
        <v>3</v>
      </c>
      <c r="B93" s="20">
        <v>197</v>
      </c>
    </row>
    <row r="94" spans="1:4" x14ac:dyDescent="0.3">
      <c r="A94" s="26">
        <v>4</v>
      </c>
      <c r="B94" s="20">
        <v>428</v>
      </c>
    </row>
    <row r="95" spans="1:4" x14ac:dyDescent="0.3">
      <c r="A95" s="26">
        <v>5</v>
      </c>
      <c r="B95" s="20">
        <v>307</v>
      </c>
    </row>
    <row r="96" spans="1:4" x14ac:dyDescent="0.3">
      <c r="A96" s="26" t="s">
        <v>1046</v>
      </c>
      <c r="B96" s="20">
        <v>1000</v>
      </c>
    </row>
    <row r="99" spans="1:7" x14ac:dyDescent="0.3">
      <c r="A99" s="23" t="s">
        <v>1041</v>
      </c>
      <c r="B99" s="23" t="s">
        <v>1092</v>
      </c>
    </row>
    <row r="100" spans="1:7" x14ac:dyDescent="0.3">
      <c r="A100" s="23" t="s">
        <v>1045</v>
      </c>
      <c r="B100" t="s">
        <v>33</v>
      </c>
      <c r="C100" t="s">
        <v>27</v>
      </c>
      <c r="D100" t="s">
        <v>46</v>
      </c>
      <c r="E100" t="s">
        <v>40</v>
      </c>
      <c r="F100" t="s">
        <v>17</v>
      </c>
      <c r="G100" t="s">
        <v>1046</v>
      </c>
    </row>
    <row r="101" spans="1:7" x14ac:dyDescent="0.3">
      <c r="A101" s="26" t="s">
        <v>28</v>
      </c>
    </row>
    <row r="102" spans="1:7" x14ac:dyDescent="0.3">
      <c r="A102" s="30" t="s">
        <v>16</v>
      </c>
      <c r="B102" s="21">
        <v>891</v>
      </c>
      <c r="C102" s="21">
        <v>1332</v>
      </c>
      <c r="D102" s="21">
        <v>1282</v>
      </c>
      <c r="E102" s="21">
        <v>739</v>
      </c>
      <c r="F102" s="21">
        <v>560</v>
      </c>
      <c r="G102" s="21">
        <v>4804</v>
      </c>
    </row>
    <row r="103" spans="1:7" x14ac:dyDescent="0.3">
      <c r="A103" s="30" t="s">
        <v>22</v>
      </c>
      <c r="B103" s="21">
        <v>1991</v>
      </c>
      <c r="C103" s="21">
        <v>1886</v>
      </c>
      <c r="D103" s="21">
        <v>1206</v>
      </c>
      <c r="E103" s="21">
        <v>884</v>
      </c>
      <c r="F103" s="21">
        <v>1722</v>
      </c>
      <c r="G103" s="21">
        <v>7689</v>
      </c>
    </row>
    <row r="104" spans="1:7" x14ac:dyDescent="0.3">
      <c r="A104" s="30" t="s">
        <v>32</v>
      </c>
      <c r="B104" s="21">
        <v>1163</v>
      </c>
      <c r="C104" s="21">
        <v>1180</v>
      </c>
      <c r="D104" s="21">
        <v>1616</v>
      </c>
      <c r="E104" s="21">
        <v>1043</v>
      </c>
      <c r="F104" s="21">
        <v>1747</v>
      </c>
      <c r="G104" s="21">
        <v>6749</v>
      </c>
    </row>
    <row r="105" spans="1:7" x14ac:dyDescent="0.3">
      <c r="A105" s="30" t="s">
        <v>50</v>
      </c>
      <c r="B105" s="21">
        <v>1438</v>
      </c>
      <c r="C105" s="21">
        <v>1616</v>
      </c>
      <c r="D105" s="21">
        <v>866</v>
      </c>
      <c r="E105" s="21">
        <v>829</v>
      </c>
      <c r="F105" s="21">
        <v>2070</v>
      </c>
      <c r="G105" s="21">
        <v>6819</v>
      </c>
    </row>
    <row r="106" spans="1:7" x14ac:dyDescent="0.3">
      <c r="A106" s="26" t="s">
        <v>24</v>
      </c>
    </row>
    <row r="107" spans="1:7" x14ac:dyDescent="0.3">
      <c r="A107" s="30" t="s">
        <v>23</v>
      </c>
      <c r="B107" s="21">
        <v>1233</v>
      </c>
      <c r="C107" s="21">
        <v>223</v>
      </c>
      <c r="D107" s="21">
        <v>1680</v>
      </c>
      <c r="E107" s="21">
        <v>990</v>
      </c>
      <c r="F107" s="21">
        <v>1508</v>
      </c>
      <c r="G107" s="21">
        <v>5634</v>
      </c>
    </row>
    <row r="108" spans="1:7" x14ac:dyDescent="0.3">
      <c r="A108" s="30" t="s">
        <v>37</v>
      </c>
      <c r="B108" s="21">
        <v>1598</v>
      </c>
      <c r="C108" s="21">
        <v>1907</v>
      </c>
      <c r="D108" s="21">
        <v>869</v>
      </c>
      <c r="E108" s="21">
        <v>1426</v>
      </c>
      <c r="F108" s="21">
        <v>1416</v>
      </c>
      <c r="G108" s="21">
        <v>7216</v>
      </c>
    </row>
    <row r="109" spans="1:7" x14ac:dyDescent="0.3">
      <c r="A109" s="30" t="s">
        <v>41</v>
      </c>
      <c r="B109" s="21">
        <v>900</v>
      </c>
      <c r="C109" s="21">
        <v>1016</v>
      </c>
      <c r="D109" s="21">
        <v>960</v>
      </c>
      <c r="E109" s="21">
        <v>940</v>
      </c>
      <c r="F109" s="21">
        <v>1193</v>
      </c>
      <c r="G109" s="21">
        <v>5009</v>
      </c>
    </row>
    <row r="110" spans="1:7" x14ac:dyDescent="0.3">
      <c r="A110" s="30" t="s">
        <v>45</v>
      </c>
      <c r="B110" s="21">
        <v>900</v>
      </c>
      <c r="C110" s="21">
        <v>1470</v>
      </c>
      <c r="D110" s="21">
        <v>1617</v>
      </c>
      <c r="E110" s="21">
        <v>1314</v>
      </c>
      <c r="F110" s="21">
        <v>941</v>
      </c>
      <c r="G110" s="21">
        <v>6242</v>
      </c>
    </row>
    <row r="111" spans="1:7" x14ac:dyDescent="0.3">
      <c r="A111" s="30" t="s">
        <v>49</v>
      </c>
      <c r="B111" s="21">
        <v>1255</v>
      </c>
      <c r="C111" s="21">
        <v>516</v>
      </c>
      <c r="D111" s="21">
        <v>1874</v>
      </c>
      <c r="E111" s="21">
        <v>1863</v>
      </c>
      <c r="F111" s="21">
        <v>1722</v>
      </c>
      <c r="G111" s="21">
        <v>7230</v>
      </c>
    </row>
    <row r="112" spans="1:7" x14ac:dyDescent="0.3">
      <c r="A112" s="30" t="s">
        <v>54</v>
      </c>
      <c r="B112" s="21">
        <v>1138</v>
      </c>
      <c r="C112" s="21">
        <v>1898</v>
      </c>
      <c r="D112" s="21">
        <v>1482</v>
      </c>
      <c r="E112" s="21">
        <v>846</v>
      </c>
      <c r="F112" s="21">
        <v>1154</v>
      </c>
      <c r="G112" s="21">
        <v>6518</v>
      </c>
    </row>
    <row r="113" spans="1:7" x14ac:dyDescent="0.3">
      <c r="A113" s="26" t="s">
        <v>20</v>
      </c>
    </row>
    <row r="114" spans="1:7" x14ac:dyDescent="0.3">
      <c r="A114" s="30" t="s">
        <v>18</v>
      </c>
      <c r="B114" s="21">
        <v>1655</v>
      </c>
      <c r="C114" s="21">
        <v>805</v>
      </c>
      <c r="D114" s="21">
        <v>2263</v>
      </c>
      <c r="E114" s="21">
        <v>987</v>
      </c>
      <c r="F114" s="21">
        <v>1075</v>
      </c>
      <c r="G114" s="21">
        <v>6785</v>
      </c>
    </row>
    <row r="115" spans="1:7" x14ac:dyDescent="0.3">
      <c r="A115" s="30" t="s">
        <v>26</v>
      </c>
      <c r="B115" s="21">
        <v>1104</v>
      </c>
      <c r="C115" s="21">
        <v>2280</v>
      </c>
      <c r="D115" s="21">
        <v>1445</v>
      </c>
      <c r="E115" s="21">
        <v>1722</v>
      </c>
      <c r="F115" s="21">
        <v>1196</v>
      </c>
      <c r="G115" s="21">
        <v>7747</v>
      </c>
    </row>
    <row r="116" spans="1:7" x14ac:dyDescent="0.3">
      <c r="A116" s="30" t="s">
        <v>35</v>
      </c>
      <c r="B116" s="21">
        <v>372</v>
      </c>
      <c r="C116" s="21">
        <v>1818</v>
      </c>
      <c r="D116" s="21">
        <v>1346</v>
      </c>
      <c r="E116" s="21">
        <v>1156</v>
      </c>
      <c r="F116" s="21">
        <v>1484</v>
      </c>
      <c r="G116" s="21">
        <v>6176</v>
      </c>
    </row>
    <row r="117" spans="1:7" x14ac:dyDescent="0.3">
      <c r="A117" s="30" t="s">
        <v>43</v>
      </c>
      <c r="B117" s="21">
        <v>1415</v>
      </c>
      <c r="C117" s="21">
        <v>1271</v>
      </c>
      <c r="D117" s="21">
        <v>1214</v>
      </c>
      <c r="E117" s="21">
        <v>1135</v>
      </c>
      <c r="F117" s="21">
        <v>1566</v>
      </c>
      <c r="G117" s="21">
        <v>6601</v>
      </c>
    </row>
    <row r="118" spans="1:7" x14ac:dyDescent="0.3">
      <c r="A118" s="30" t="s">
        <v>30</v>
      </c>
      <c r="B118" s="21">
        <v>1362</v>
      </c>
      <c r="C118" s="21">
        <v>1363</v>
      </c>
      <c r="D118" s="21">
        <v>1152</v>
      </c>
      <c r="E118" s="21">
        <v>777</v>
      </c>
      <c r="F118" s="21">
        <v>750</v>
      </c>
      <c r="G118" s="21">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CE073-7E48-4D8F-82AC-22F5E1841F4D}">
  <dimension ref="A1:M19"/>
  <sheetViews>
    <sheetView workbookViewId="0">
      <selection activeCell="C24" sqref="C24"/>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4" t="s">
        <v>1084</v>
      </c>
    </row>
    <row r="3" spans="1:13" x14ac:dyDescent="0.3">
      <c r="A3" t="s">
        <v>1060</v>
      </c>
      <c r="B3" t="s">
        <v>1061</v>
      </c>
      <c r="C3" t="s">
        <v>1062</v>
      </c>
      <c r="D3" t="s">
        <v>1063</v>
      </c>
      <c r="E3" t="s">
        <v>1064</v>
      </c>
      <c r="F3" t="s">
        <v>1065</v>
      </c>
      <c r="G3" t="s">
        <v>1066</v>
      </c>
      <c r="H3" t="s">
        <v>1067</v>
      </c>
      <c r="I3" t="s">
        <v>1068</v>
      </c>
      <c r="J3" t="s">
        <v>1069</v>
      </c>
      <c r="K3" t="s">
        <v>1070</v>
      </c>
      <c r="L3" t="s">
        <v>1071</v>
      </c>
      <c r="M3" t="s">
        <v>1072</v>
      </c>
    </row>
    <row r="4" spans="1:13" x14ac:dyDescent="0.3">
      <c r="A4" t="s">
        <v>31</v>
      </c>
      <c r="B4" t="s">
        <v>32</v>
      </c>
      <c r="C4">
        <v>128</v>
      </c>
      <c r="D4" t="s">
        <v>33</v>
      </c>
      <c r="E4" s="27">
        <v>44928</v>
      </c>
      <c r="F4">
        <v>31</v>
      </c>
      <c r="G4">
        <v>2.8</v>
      </c>
      <c r="H4">
        <v>2023</v>
      </c>
      <c r="I4" t="s">
        <v>1073</v>
      </c>
      <c r="J4" t="s">
        <v>1074</v>
      </c>
      <c r="K4">
        <v>3</v>
      </c>
      <c r="L4" t="s">
        <v>1047</v>
      </c>
      <c r="M4">
        <v>1</v>
      </c>
    </row>
    <row r="5" spans="1:13" x14ac:dyDescent="0.3">
      <c r="A5" t="s">
        <v>53</v>
      </c>
      <c r="B5" t="s">
        <v>49</v>
      </c>
      <c r="C5">
        <v>48</v>
      </c>
      <c r="D5" t="s">
        <v>33</v>
      </c>
      <c r="E5" s="27">
        <v>44930</v>
      </c>
      <c r="F5">
        <v>68</v>
      </c>
      <c r="G5">
        <v>4.9000000000000004</v>
      </c>
      <c r="H5">
        <v>2023</v>
      </c>
      <c r="I5" t="s">
        <v>1075</v>
      </c>
      <c r="J5" t="s">
        <v>1076</v>
      </c>
      <c r="K5">
        <v>5</v>
      </c>
      <c r="L5" t="s">
        <v>1047</v>
      </c>
      <c r="M5">
        <v>1</v>
      </c>
    </row>
    <row r="6" spans="1:13" x14ac:dyDescent="0.3">
      <c r="A6" t="s">
        <v>56</v>
      </c>
      <c r="B6" t="s">
        <v>45</v>
      </c>
      <c r="C6">
        <v>99</v>
      </c>
      <c r="D6" t="s">
        <v>33</v>
      </c>
      <c r="E6" s="27">
        <v>44931</v>
      </c>
      <c r="F6">
        <v>195</v>
      </c>
      <c r="G6">
        <v>3.9</v>
      </c>
      <c r="H6">
        <v>2023</v>
      </c>
      <c r="I6" t="s">
        <v>1077</v>
      </c>
      <c r="J6" t="s">
        <v>1078</v>
      </c>
      <c r="K6">
        <v>4</v>
      </c>
      <c r="L6" t="s">
        <v>1047</v>
      </c>
      <c r="M6">
        <v>1</v>
      </c>
    </row>
    <row r="7" spans="1:13" x14ac:dyDescent="0.3">
      <c r="A7" t="s">
        <v>64</v>
      </c>
      <c r="B7" t="s">
        <v>45</v>
      </c>
      <c r="C7">
        <v>54</v>
      </c>
      <c r="D7" t="s">
        <v>33</v>
      </c>
      <c r="E7" s="27">
        <v>44934</v>
      </c>
      <c r="F7">
        <v>111</v>
      </c>
      <c r="G7">
        <v>3.3</v>
      </c>
      <c r="H7">
        <v>2023</v>
      </c>
      <c r="I7" t="s">
        <v>1079</v>
      </c>
      <c r="J7" t="s">
        <v>1076</v>
      </c>
      <c r="K7">
        <v>3</v>
      </c>
      <c r="L7" t="s">
        <v>1047</v>
      </c>
      <c r="M7">
        <v>1</v>
      </c>
    </row>
    <row r="8" spans="1:13" x14ac:dyDescent="0.3">
      <c r="A8" t="s">
        <v>69</v>
      </c>
      <c r="B8" t="s">
        <v>54</v>
      </c>
      <c r="C8">
        <v>155</v>
      </c>
      <c r="D8" t="s">
        <v>33</v>
      </c>
      <c r="E8" s="27">
        <v>44936</v>
      </c>
      <c r="F8">
        <v>110</v>
      </c>
      <c r="G8">
        <v>4.8</v>
      </c>
      <c r="H8">
        <v>2023</v>
      </c>
      <c r="I8" t="s">
        <v>1080</v>
      </c>
      <c r="J8" t="s">
        <v>1074</v>
      </c>
      <c r="K8">
        <v>5</v>
      </c>
      <c r="L8" t="s">
        <v>1047</v>
      </c>
      <c r="M8">
        <v>1</v>
      </c>
    </row>
    <row r="9" spans="1:13" x14ac:dyDescent="0.3">
      <c r="A9" t="s">
        <v>72</v>
      </c>
      <c r="B9" t="s">
        <v>32</v>
      </c>
      <c r="C9">
        <v>29</v>
      </c>
      <c r="D9" t="s">
        <v>33</v>
      </c>
      <c r="E9" s="27">
        <v>44938</v>
      </c>
      <c r="F9">
        <v>170</v>
      </c>
      <c r="G9">
        <v>5</v>
      </c>
      <c r="H9">
        <v>2023</v>
      </c>
      <c r="I9" t="s">
        <v>1077</v>
      </c>
      <c r="J9" t="s">
        <v>1081</v>
      </c>
      <c r="K9">
        <v>5</v>
      </c>
      <c r="L9" t="s">
        <v>1047</v>
      </c>
      <c r="M9">
        <v>1</v>
      </c>
    </row>
    <row r="10" spans="1:13" x14ac:dyDescent="0.3">
      <c r="A10" t="s">
        <v>84</v>
      </c>
      <c r="B10" t="s">
        <v>18</v>
      </c>
      <c r="C10">
        <v>105</v>
      </c>
      <c r="D10" t="s">
        <v>33</v>
      </c>
      <c r="E10" s="27">
        <v>44944</v>
      </c>
      <c r="F10">
        <v>56</v>
      </c>
      <c r="G10">
        <v>3.6</v>
      </c>
      <c r="H10">
        <v>2023</v>
      </c>
      <c r="I10" t="s">
        <v>1075</v>
      </c>
      <c r="J10" t="s">
        <v>1078</v>
      </c>
      <c r="K10">
        <v>4</v>
      </c>
      <c r="L10" t="s">
        <v>1047</v>
      </c>
      <c r="M10">
        <v>1</v>
      </c>
    </row>
    <row r="11" spans="1:13" x14ac:dyDescent="0.3">
      <c r="A11" t="s">
        <v>86</v>
      </c>
      <c r="B11" t="s">
        <v>30</v>
      </c>
      <c r="C11">
        <v>131</v>
      </c>
      <c r="D11" t="s">
        <v>33</v>
      </c>
      <c r="E11" s="27">
        <v>44945</v>
      </c>
      <c r="F11">
        <v>78</v>
      </c>
      <c r="G11">
        <v>4.4000000000000004</v>
      </c>
      <c r="H11">
        <v>2023</v>
      </c>
      <c r="I11" t="s">
        <v>1077</v>
      </c>
      <c r="J11" t="s">
        <v>1074</v>
      </c>
      <c r="K11">
        <v>4</v>
      </c>
      <c r="L11" t="s">
        <v>1047</v>
      </c>
      <c r="M11">
        <v>1</v>
      </c>
    </row>
    <row r="12" spans="1:13" x14ac:dyDescent="0.3">
      <c r="A12" t="s">
        <v>90</v>
      </c>
      <c r="B12" t="s">
        <v>23</v>
      </c>
      <c r="C12">
        <v>149</v>
      </c>
      <c r="D12" t="s">
        <v>33</v>
      </c>
      <c r="E12" s="27">
        <v>44946</v>
      </c>
      <c r="F12">
        <v>72</v>
      </c>
      <c r="G12">
        <v>4.3</v>
      </c>
      <c r="H12">
        <v>2023</v>
      </c>
      <c r="I12" t="s">
        <v>1082</v>
      </c>
      <c r="J12" t="s">
        <v>1074</v>
      </c>
      <c r="K12">
        <v>4</v>
      </c>
      <c r="L12" t="s">
        <v>1047</v>
      </c>
      <c r="M12">
        <v>1</v>
      </c>
    </row>
    <row r="13" spans="1:13" x14ac:dyDescent="0.3">
      <c r="A13" t="s">
        <v>93</v>
      </c>
      <c r="B13" t="s">
        <v>41</v>
      </c>
      <c r="C13">
        <v>157</v>
      </c>
      <c r="D13" t="s">
        <v>33</v>
      </c>
      <c r="E13" s="27">
        <v>44947</v>
      </c>
      <c r="F13">
        <v>69</v>
      </c>
      <c r="G13">
        <v>4.5</v>
      </c>
      <c r="H13">
        <v>2023</v>
      </c>
      <c r="I13" t="s">
        <v>1083</v>
      </c>
      <c r="J13" t="s">
        <v>1074</v>
      </c>
      <c r="K13">
        <v>5</v>
      </c>
      <c r="L13" t="s">
        <v>1047</v>
      </c>
      <c r="M13">
        <v>1</v>
      </c>
    </row>
    <row r="14" spans="1:13" x14ac:dyDescent="0.3">
      <c r="A14" t="s">
        <v>95</v>
      </c>
      <c r="B14" t="s">
        <v>50</v>
      </c>
      <c r="C14">
        <v>83</v>
      </c>
      <c r="D14" t="s">
        <v>33</v>
      </c>
      <c r="E14" s="27">
        <v>44948</v>
      </c>
      <c r="F14">
        <v>28</v>
      </c>
      <c r="G14">
        <v>4.5</v>
      </c>
      <c r="H14">
        <v>2023</v>
      </c>
      <c r="I14" t="s">
        <v>1079</v>
      </c>
      <c r="J14" t="s">
        <v>1078</v>
      </c>
      <c r="K14">
        <v>5</v>
      </c>
      <c r="L14" t="s">
        <v>1047</v>
      </c>
      <c r="M14">
        <v>1</v>
      </c>
    </row>
    <row r="15" spans="1:13" x14ac:dyDescent="0.3">
      <c r="A15" t="s">
        <v>100</v>
      </c>
      <c r="B15" t="s">
        <v>49</v>
      </c>
      <c r="C15">
        <v>74</v>
      </c>
      <c r="D15" t="s">
        <v>33</v>
      </c>
      <c r="E15" s="27">
        <v>44950</v>
      </c>
      <c r="F15">
        <v>66</v>
      </c>
      <c r="G15">
        <v>4</v>
      </c>
      <c r="H15">
        <v>2023</v>
      </c>
      <c r="I15" t="s">
        <v>1080</v>
      </c>
      <c r="J15" t="s">
        <v>1078</v>
      </c>
      <c r="K15">
        <v>4</v>
      </c>
      <c r="L15" t="s">
        <v>1047</v>
      </c>
      <c r="M15">
        <v>1</v>
      </c>
    </row>
    <row r="16" spans="1:13" x14ac:dyDescent="0.3">
      <c r="A16" t="s">
        <v>108</v>
      </c>
      <c r="B16" t="s">
        <v>26</v>
      </c>
      <c r="C16">
        <v>81</v>
      </c>
      <c r="D16" t="s">
        <v>33</v>
      </c>
      <c r="E16" s="27">
        <v>44953</v>
      </c>
      <c r="F16">
        <v>156</v>
      </c>
      <c r="G16">
        <v>2.6</v>
      </c>
      <c r="H16">
        <v>2023</v>
      </c>
      <c r="I16" t="s">
        <v>1082</v>
      </c>
      <c r="J16" t="s">
        <v>1078</v>
      </c>
      <c r="K16">
        <v>3</v>
      </c>
      <c r="L16" t="s">
        <v>1047</v>
      </c>
      <c r="M16">
        <v>1</v>
      </c>
    </row>
    <row r="17" spans="1:13" x14ac:dyDescent="0.3">
      <c r="A17" t="s">
        <v>111</v>
      </c>
      <c r="B17" t="s">
        <v>18</v>
      </c>
      <c r="C17">
        <v>101</v>
      </c>
      <c r="D17" t="s">
        <v>33</v>
      </c>
      <c r="E17" s="27">
        <v>44954</v>
      </c>
      <c r="F17">
        <v>80</v>
      </c>
      <c r="G17">
        <v>4.8</v>
      </c>
      <c r="H17">
        <v>2023</v>
      </c>
      <c r="I17" t="s">
        <v>1083</v>
      </c>
      <c r="J17" t="s">
        <v>1078</v>
      </c>
      <c r="K17">
        <v>5</v>
      </c>
      <c r="L17" t="s">
        <v>1047</v>
      </c>
      <c r="M17">
        <v>1</v>
      </c>
    </row>
    <row r="18" spans="1:13" x14ac:dyDescent="0.3">
      <c r="A18" t="s">
        <v>112</v>
      </c>
      <c r="B18" t="s">
        <v>49</v>
      </c>
      <c r="C18">
        <v>67</v>
      </c>
      <c r="D18" t="s">
        <v>33</v>
      </c>
      <c r="E18" s="27">
        <v>44954</v>
      </c>
      <c r="F18">
        <v>168</v>
      </c>
      <c r="G18">
        <v>2.6</v>
      </c>
      <c r="H18">
        <v>2023</v>
      </c>
      <c r="I18" t="s">
        <v>1083</v>
      </c>
      <c r="J18" t="s">
        <v>1078</v>
      </c>
      <c r="K18">
        <v>3</v>
      </c>
      <c r="L18" t="s">
        <v>1047</v>
      </c>
      <c r="M18">
        <v>1</v>
      </c>
    </row>
    <row r="19" spans="1:13" x14ac:dyDescent="0.3">
      <c r="A19" t="s">
        <v>114</v>
      </c>
      <c r="B19" t="s">
        <v>26</v>
      </c>
      <c r="C19">
        <v>42</v>
      </c>
      <c r="D19" t="s">
        <v>33</v>
      </c>
      <c r="E19" s="27">
        <v>44956</v>
      </c>
      <c r="F19">
        <v>205</v>
      </c>
      <c r="G19">
        <v>3.6</v>
      </c>
      <c r="H19">
        <v>2023</v>
      </c>
      <c r="I19" t="s">
        <v>1073</v>
      </c>
      <c r="J19" t="s">
        <v>1076</v>
      </c>
      <c r="K19">
        <v>4</v>
      </c>
      <c r="L19" t="s">
        <v>1047</v>
      </c>
      <c r="M19">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1DC6B-2E00-4973-A460-BCED25EF70BB}">
  <dimension ref="F1:Y34"/>
  <sheetViews>
    <sheetView tabSelected="1" zoomScale="111" zoomScaleNormal="100" workbookViewId="0">
      <selection activeCell="AF15" sqref="AF15"/>
    </sheetView>
  </sheetViews>
  <sheetFormatPr defaultRowHeight="14.4" x14ac:dyDescent="0.3"/>
  <cols>
    <col min="1" max="1" width="1.3984375" style="24" customWidth="1"/>
    <col min="2" max="2" width="1.09765625" style="24" customWidth="1"/>
    <col min="3" max="16384" width="8.796875" style="24"/>
  </cols>
  <sheetData>
    <row r="1" spans="6:25" ht="13.8" customHeight="1" x14ac:dyDescent="0.3"/>
    <row r="4" spans="6:25" x14ac:dyDescent="0.3">
      <c r="F4" s="25"/>
    </row>
    <row r="16" spans="6:25" x14ac:dyDescent="0.3">
      <c r="S16" s="31"/>
      <c r="T16" s="41" t="str" cm="1">
        <f t="array" ref="T16:X16">Pivot!B100:F100</f>
        <v>R01</v>
      </c>
      <c r="U16" s="42" t="str">
        <v>R02</v>
      </c>
      <c r="V16" s="41" t="str">
        <v>R03</v>
      </c>
      <c r="W16" s="41" t="str">
        <v>R04</v>
      </c>
      <c r="X16" s="41" t="str">
        <v>R05</v>
      </c>
      <c r="Y16" s="43" t="s">
        <v>1093</v>
      </c>
    </row>
    <row r="17" spans="19:25" x14ac:dyDescent="0.3">
      <c r="S17" s="44" t="str" cm="1">
        <f t="array" ref="S17:Y34">IF(Pivot!A101:G118="","",Pivot!A101:G118)</f>
        <v>Cincinnati</v>
      </c>
      <c r="T17" s="32" t="str">
        <v/>
      </c>
      <c r="U17" s="32" t="str">
        <v/>
      </c>
      <c r="V17" s="32" t="str">
        <v/>
      </c>
      <c r="W17" s="32" t="str">
        <v/>
      </c>
      <c r="X17" s="32" t="str">
        <v/>
      </c>
      <c r="Y17" s="33" t="str">
        <v/>
      </c>
    </row>
    <row r="18" spans="19:25" x14ac:dyDescent="0.3">
      <c r="S18" s="34" t="str">
        <v>C0003</v>
      </c>
      <c r="T18" s="35">
        <v>891</v>
      </c>
      <c r="U18" s="35">
        <v>1332</v>
      </c>
      <c r="V18" s="35">
        <v>1282</v>
      </c>
      <c r="W18" s="35">
        <v>739</v>
      </c>
      <c r="X18" s="35">
        <v>560</v>
      </c>
      <c r="Y18" s="36">
        <v>4804</v>
      </c>
    </row>
    <row r="19" spans="19:25" x14ac:dyDescent="0.3">
      <c r="S19" s="34" t="str">
        <v>C0004</v>
      </c>
      <c r="T19" s="35">
        <v>1991</v>
      </c>
      <c r="U19" s="35">
        <v>1886</v>
      </c>
      <c r="V19" s="35">
        <v>1206</v>
      </c>
      <c r="W19" s="35">
        <v>884</v>
      </c>
      <c r="X19" s="35">
        <v>1722</v>
      </c>
      <c r="Y19" s="36">
        <v>7689</v>
      </c>
    </row>
    <row r="20" spans="19:25" x14ac:dyDescent="0.3">
      <c r="S20" s="34" t="str">
        <v>C0011</v>
      </c>
      <c r="T20" s="35">
        <v>1163</v>
      </c>
      <c r="U20" s="35">
        <v>1180</v>
      </c>
      <c r="V20" s="35">
        <v>1616</v>
      </c>
      <c r="W20" s="35">
        <v>1043</v>
      </c>
      <c r="X20" s="35">
        <v>1747</v>
      </c>
      <c r="Y20" s="36">
        <v>6749</v>
      </c>
    </row>
    <row r="21" spans="19:25" x14ac:dyDescent="0.3">
      <c r="S21" s="34" t="str">
        <v>C0012</v>
      </c>
      <c r="T21" s="35">
        <v>1438</v>
      </c>
      <c r="U21" s="35">
        <v>1616</v>
      </c>
      <c r="V21" s="35">
        <v>866</v>
      </c>
      <c r="W21" s="35">
        <v>829</v>
      </c>
      <c r="X21" s="35">
        <v>2070</v>
      </c>
      <c r="Y21" s="36">
        <v>6819</v>
      </c>
    </row>
    <row r="22" spans="19:25" x14ac:dyDescent="0.3">
      <c r="S22" s="44" t="str">
        <v>Cleveland</v>
      </c>
      <c r="T22" s="35" t="str">
        <v/>
      </c>
      <c r="U22" s="35" t="str">
        <v/>
      </c>
      <c r="V22" s="35" t="str">
        <v/>
      </c>
      <c r="W22" s="35" t="str">
        <v/>
      </c>
      <c r="X22" s="35" t="str">
        <v/>
      </c>
      <c r="Y22" s="36" t="str">
        <v/>
      </c>
    </row>
    <row r="23" spans="19:25" x14ac:dyDescent="0.3">
      <c r="S23" s="34" t="str">
        <v>C0002</v>
      </c>
      <c r="T23" s="35">
        <v>1233</v>
      </c>
      <c r="U23" s="35">
        <v>223</v>
      </c>
      <c r="V23" s="35">
        <v>1680</v>
      </c>
      <c r="W23" s="37">
        <v>990</v>
      </c>
      <c r="X23" s="35">
        <v>1508</v>
      </c>
      <c r="Y23" s="36">
        <v>5634</v>
      </c>
    </row>
    <row r="24" spans="19:25" x14ac:dyDescent="0.3">
      <c r="S24" s="34" t="str">
        <v>C0007</v>
      </c>
      <c r="T24" s="35">
        <v>1598</v>
      </c>
      <c r="U24" s="35">
        <v>1907</v>
      </c>
      <c r="V24" s="35">
        <v>869</v>
      </c>
      <c r="W24" s="35">
        <v>1426</v>
      </c>
      <c r="X24" s="35">
        <v>1416</v>
      </c>
      <c r="Y24" s="36">
        <v>7216</v>
      </c>
    </row>
    <row r="25" spans="19:25" x14ac:dyDescent="0.3">
      <c r="S25" s="34" t="str">
        <v>C0008</v>
      </c>
      <c r="T25" s="35">
        <v>900</v>
      </c>
      <c r="U25" s="35">
        <v>1016</v>
      </c>
      <c r="V25" s="35">
        <v>960</v>
      </c>
      <c r="W25" s="35">
        <v>940</v>
      </c>
      <c r="X25" s="35">
        <v>1193</v>
      </c>
      <c r="Y25" s="36">
        <v>5009</v>
      </c>
    </row>
    <row r="26" spans="19:25" x14ac:dyDescent="0.3">
      <c r="S26" s="34" t="str">
        <v>C0010</v>
      </c>
      <c r="T26" s="35">
        <v>900</v>
      </c>
      <c r="U26" s="35">
        <v>1470</v>
      </c>
      <c r="V26" s="35">
        <v>1617</v>
      </c>
      <c r="W26" s="35">
        <v>1314</v>
      </c>
      <c r="X26" s="35">
        <v>941</v>
      </c>
      <c r="Y26" s="36">
        <v>6242</v>
      </c>
    </row>
    <row r="27" spans="19:25" x14ac:dyDescent="0.3">
      <c r="S27" s="34" t="str">
        <v>C0013</v>
      </c>
      <c r="T27" s="35">
        <v>1255</v>
      </c>
      <c r="U27" s="35">
        <v>516</v>
      </c>
      <c r="V27" s="35">
        <v>1874</v>
      </c>
      <c r="W27" s="35">
        <v>1863</v>
      </c>
      <c r="X27" s="35">
        <v>1722</v>
      </c>
      <c r="Y27" s="36">
        <v>7230</v>
      </c>
    </row>
    <row r="28" spans="19:25" x14ac:dyDescent="0.3">
      <c r="S28" s="34" t="str">
        <v>C0015</v>
      </c>
      <c r="T28" s="35">
        <v>1138</v>
      </c>
      <c r="U28" s="35">
        <v>1898</v>
      </c>
      <c r="V28" s="35">
        <v>1482</v>
      </c>
      <c r="W28" s="35">
        <v>846</v>
      </c>
      <c r="X28" s="35">
        <v>1154</v>
      </c>
      <c r="Y28" s="36">
        <v>6518</v>
      </c>
    </row>
    <row r="29" spans="19:25" x14ac:dyDescent="0.3">
      <c r="S29" s="44" t="str">
        <v>Columbus</v>
      </c>
      <c r="T29" s="35" t="str">
        <v/>
      </c>
      <c r="U29" s="35" t="str">
        <v/>
      </c>
      <c r="V29" s="35" t="str">
        <v/>
      </c>
      <c r="W29" s="35" t="str">
        <v/>
      </c>
      <c r="X29" s="35" t="str">
        <v/>
      </c>
      <c r="Y29" s="36" t="str">
        <v/>
      </c>
    </row>
    <row r="30" spans="19:25" x14ac:dyDescent="0.3">
      <c r="S30" s="34" t="str">
        <v>C0001</v>
      </c>
      <c r="T30" s="35">
        <v>1655</v>
      </c>
      <c r="U30" s="35">
        <v>805</v>
      </c>
      <c r="V30" s="35">
        <v>2263</v>
      </c>
      <c r="W30" s="35">
        <v>987</v>
      </c>
      <c r="X30" s="35">
        <v>1075</v>
      </c>
      <c r="Y30" s="36">
        <v>6785</v>
      </c>
    </row>
    <row r="31" spans="19:25" x14ac:dyDescent="0.3">
      <c r="S31" s="34" t="str">
        <v>C0005</v>
      </c>
      <c r="T31" s="35">
        <v>1104</v>
      </c>
      <c r="U31" s="35">
        <v>2280</v>
      </c>
      <c r="V31" s="35">
        <v>1445</v>
      </c>
      <c r="W31" s="35">
        <v>1722</v>
      </c>
      <c r="X31" s="35">
        <v>1196</v>
      </c>
      <c r="Y31" s="36">
        <v>7747</v>
      </c>
    </row>
    <row r="32" spans="19:25" x14ac:dyDescent="0.3">
      <c r="S32" s="34" t="str">
        <v>C0006</v>
      </c>
      <c r="T32" s="35">
        <v>372</v>
      </c>
      <c r="U32" s="35">
        <v>1818</v>
      </c>
      <c r="V32" s="35">
        <v>1346</v>
      </c>
      <c r="W32" s="35">
        <v>1156</v>
      </c>
      <c r="X32" s="35">
        <v>1484</v>
      </c>
      <c r="Y32" s="36">
        <v>6176</v>
      </c>
    </row>
    <row r="33" spans="19:25" x14ac:dyDescent="0.3">
      <c r="S33" s="34" t="str">
        <v>C0009</v>
      </c>
      <c r="T33" s="35">
        <v>1415</v>
      </c>
      <c r="U33" s="35">
        <v>1271</v>
      </c>
      <c r="V33" s="35">
        <v>1214</v>
      </c>
      <c r="W33" s="35">
        <v>1135</v>
      </c>
      <c r="X33" s="35">
        <v>1566</v>
      </c>
      <c r="Y33" s="36">
        <v>6601</v>
      </c>
    </row>
    <row r="34" spans="19:25" x14ac:dyDescent="0.3">
      <c r="S34" s="38" t="str">
        <v>C0014</v>
      </c>
      <c r="T34" s="39">
        <v>1362</v>
      </c>
      <c r="U34" s="39">
        <v>1363</v>
      </c>
      <c r="V34" s="39">
        <v>1152</v>
      </c>
      <c r="W34" s="39">
        <v>777</v>
      </c>
      <c r="X34" s="39">
        <v>750</v>
      </c>
      <c r="Y34" s="40">
        <v>5404</v>
      </c>
    </row>
  </sheetData>
  <conditionalFormatting sqref="T18:X22 T24:X34 T23:V23 X23 U16">
    <cfRule type="dataBar" priority="3">
      <dataBar>
        <cfvo type="num" val="0"/>
        <cfvo type="formula" val="MAX($T$17:$X$34)*2"/>
        <color theme="1" tint="4.9989318521683403E-2"/>
      </dataBar>
      <extLst>
        <ext xmlns:x14="http://schemas.microsoft.com/office/spreadsheetml/2009/9/main" uri="{B025F937-C7B1-47D3-B67F-A62EFF666E3E}">
          <x14:id>{FA72C0B7-5636-4F15-8372-218CC7C161A5}</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2" id="{9F42E7DB-09A8-4E5C-B6C2-C095AFDAC699}">
            <xm:f>$T$16=Pivot!$A$68</xm:f>
            <x14:dxf>
              <fill>
                <patternFill>
                  <bgColor theme="8" tint="0.39994506668294322"/>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x14:dxf>
          </x14:cfRule>
          <xm:sqref>T16:X22 T23:V23 X23 T24:X34</xm:sqref>
        </x14:conditionalFormatting>
        <x14:conditionalFormatting xmlns:xm="http://schemas.microsoft.com/office/excel/2006/main">
          <x14:cfRule type="expression" priority="1" id="{C2E58025-79C6-4F4A-A91D-6D6B3D32A4C5}">
            <xm:f>T$16=Pivot!$A$68</xm:f>
            <x14:dxf>
              <fill>
                <patternFill>
                  <bgColor theme="8" tint="0.39994506668294322"/>
                </patternFill>
              </fill>
              <border>
                <left style="thin">
                  <color theme="1" tint="0.34998626667073579"/>
                </left>
                <right style="thin">
                  <color theme="1" tint="0.34998626667073579"/>
                </right>
                <vertical/>
                <horizontal/>
              </border>
            </x14:dxf>
          </x14:cfRule>
          <xm:sqref>T16:X34</xm:sqref>
        </x14:conditionalFormatting>
        <x14:conditionalFormatting xmlns:xm="http://schemas.microsoft.com/office/excel/2006/main">
          <x14:cfRule type="dataBar" id="{FA72C0B7-5636-4F15-8372-218CC7C161A5}">
            <x14:dataBar minLength="0" maxLength="100" gradient="0">
              <x14:cfvo type="num">
                <xm:f>0</xm:f>
              </x14:cfvo>
              <x14:cfvo type="formula">
                <xm:f>MAX($T$17:$X$34)*2</xm:f>
              </x14:cfvo>
              <x14:negativeFillColor rgb="FFFF0000"/>
              <x14:axisColor rgb="FF000000"/>
            </x14:dataBar>
          </x14:cfRule>
          <xm:sqref>T18:X22 T24:X34 T23:V23 X23 U16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Sheet1</vt:lpstr>
      <vt:lpstr>Customer Center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charu sharma</cp:lastModifiedBy>
  <dcterms:created xsi:type="dcterms:W3CDTF">2015-06-05T18:17:20Z</dcterms:created>
  <dcterms:modified xsi:type="dcterms:W3CDTF">2026-04-30T07:35:08Z</dcterms:modified>
</cp:coreProperties>
</file>